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one\Downloads\"/>
    </mc:Choice>
  </mc:AlternateContent>
  <xr:revisionPtr revIDLastSave="0" documentId="13_ncr:1_{027AA5DC-0046-4B24-B014-7A51B387EFCE}" xr6:coauthVersionLast="47" xr6:coauthVersionMax="47" xr10:uidLastSave="{00000000-0000-0000-0000-000000000000}"/>
  <bookViews>
    <workbookView xWindow="-108" yWindow="-108" windowWidth="23256" windowHeight="13176" firstSheet="4" activeTab="7" xr2:uid="{00000000-000D-0000-FFFF-FFFF00000000}"/>
  </bookViews>
  <sheets>
    <sheet name="Dashboard" sheetId="1" r:id="rId1"/>
    <sheet name="Integrated_View" sheetId="2" r:id="rId2"/>
    <sheet name="PMMY_Raw" sheetId="3" r:id="rId3"/>
    <sheet name="CD_Ratio" sheetId="4" r:id="rId4"/>
    <sheet name="MSME_Udyog_Aadhaar" sheetId="5" r:id="rId5"/>
    <sheet name="Charts" sheetId="6" r:id="rId6"/>
    <sheet name="QA_Checks" sheetId="7" r:id="rId7"/>
    <sheet name="Sources_Method" sheetId="8" r:id="rId8"/>
  </sheets>
  <definedNames>
    <definedName name="_xlnm._FilterDatabase" localSheetId="3" hidden="1">CD_Ratio!$A$4:$F$38</definedName>
    <definedName name="_xlnm._FilterDatabase" localSheetId="1" hidden="1">Integrated_View!$A$4:$N$37</definedName>
    <definedName name="_xlnm._FilterDatabase" localSheetId="4" hidden="1">MSME_Udyog_Aadhaar!$A$4:$F$37</definedName>
    <definedName name="_xlnm._FilterDatabase" localSheetId="2" hidden="1">PMMY_Raw!$A$4:$L$38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5" l="1"/>
  <c r="D37" i="5"/>
  <c r="C37" i="5"/>
  <c r="B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K38" i="3"/>
  <c r="L38" i="3" s="1"/>
  <c r="J38" i="3"/>
  <c r="I38" i="3"/>
  <c r="H38" i="3"/>
  <c r="G38" i="3"/>
  <c r="F38" i="3"/>
  <c r="E38" i="3"/>
  <c r="D38" i="3"/>
  <c r="C38" i="3"/>
  <c r="B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D38" i="2"/>
  <c r="C38" i="2"/>
  <c r="B38" i="2"/>
  <c r="N37" i="2"/>
  <c r="M37" i="2"/>
  <c r="K37" i="2"/>
  <c r="J37" i="2"/>
  <c r="I37" i="2"/>
  <c r="D37" i="2"/>
  <c r="N36" i="2"/>
  <c r="M36" i="2"/>
  <c r="K36" i="2"/>
  <c r="J36" i="2"/>
  <c r="I36" i="2"/>
  <c r="D36" i="2"/>
  <c r="N35" i="2"/>
  <c r="M35" i="2"/>
  <c r="K35" i="2"/>
  <c r="J35" i="2"/>
  <c r="I35" i="2"/>
  <c r="D35" i="2"/>
  <c r="N34" i="2"/>
  <c r="M34" i="2"/>
  <c r="K34" i="2"/>
  <c r="J34" i="2"/>
  <c r="I34" i="2"/>
  <c r="D34" i="2"/>
  <c r="N33" i="2"/>
  <c r="M33" i="2"/>
  <c r="K33" i="2"/>
  <c r="J33" i="2"/>
  <c r="I33" i="2"/>
  <c r="D33" i="2"/>
  <c r="N32" i="2"/>
  <c r="M32" i="2"/>
  <c r="K32" i="2"/>
  <c r="J32" i="2"/>
  <c r="I32" i="2"/>
  <c r="D32" i="2"/>
  <c r="N31" i="2"/>
  <c r="M31" i="2"/>
  <c r="K31" i="2"/>
  <c r="J31" i="2"/>
  <c r="I31" i="2"/>
  <c r="D31" i="2"/>
  <c r="N30" i="2"/>
  <c r="M30" i="2"/>
  <c r="K30" i="2"/>
  <c r="J30" i="2"/>
  <c r="I30" i="2"/>
  <c r="D30" i="2"/>
  <c r="N29" i="2"/>
  <c r="M29" i="2"/>
  <c r="K29" i="2"/>
  <c r="J29" i="2"/>
  <c r="I29" i="2"/>
  <c r="D29" i="2"/>
  <c r="N28" i="2"/>
  <c r="M28" i="2"/>
  <c r="K28" i="2"/>
  <c r="J28" i="2"/>
  <c r="I28" i="2"/>
  <c r="D28" i="2"/>
  <c r="N27" i="2"/>
  <c r="M27" i="2"/>
  <c r="K27" i="2"/>
  <c r="J27" i="2"/>
  <c r="I27" i="2"/>
  <c r="D27" i="2"/>
  <c r="N26" i="2"/>
  <c r="M26" i="2"/>
  <c r="K26" i="2"/>
  <c r="J26" i="2"/>
  <c r="I26" i="2"/>
  <c r="D26" i="2"/>
  <c r="N25" i="2"/>
  <c r="M25" i="2"/>
  <c r="K25" i="2"/>
  <c r="J25" i="2"/>
  <c r="I25" i="2"/>
  <c r="D25" i="2"/>
  <c r="N24" i="2"/>
  <c r="M24" i="2"/>
  <c r="K24" i="2"/>
  <c r="J24" i="2"/>
  <c r="I24" i="2"/>
  <c r="D24" i="2"/>
  <c r="N23" i="2"/>
  <c r="M23" i="2"/>
  <c r="K23" i="2"/>
  <c r="J23" i="2"/>
  <c r="I23" i="2"/>
  <c r="D23" i="2"/>
  <c r="N22" i="2"/>
  <c r="M22" i="2"/>
  <c r="K22" i="2"/>
  <c r="J22" i="2"/>
  <c r="I22" i="2"/>
  <c r="D22" i="2"/>
  <c r="N21" i="2"/>
  <c r="M21" i="2"/>
  <c r="K21" i="2"/>
  <c r="J21" i="2"/>
  <c r="I21" i="2"/>
  <c r="D21" i="2"/>
  <c r="N20" i="2"/>
  <c r="M20" i="2"/>
  <c r="K20" i="2"/>
  <c r="J20" i="2"/>
  <c r="I20" i="2"/>
  <c r="D20" i="2"/>
  <c r="N19" i="2"/>
  <c r="M19" i="2"/>
  <c r="K19" i="2"/>
  <c r="J19" i="2"/>
  <c r="I19" i="2"/>
  <c r="D19" i="2"/>
  <c r="N18" i="2"/>
  <c r="M18" i="2"/>
  <c r="K18" i="2"/>
  <c r="J18" i="2"/>
  <c r="I18" i="2"/>
  <c r="D18" i="2"/>
  <c r="N17" i="2"/>
  <c r="M17" i="2"/>
  <c r="K17" i="2"/>
  <c r="J17" i="2"/>
  <c r="I17" i="2"/>
  <c r="D17" i="2"/>
  <c r="N16" i="2"/>
  <c r="M16" i="2"/>
  <c r="K16" i="2"/>
  <c r="J16" i="2"/>
  <c r="I16" i="2"/>
  <c r="D16" i="2"/>
  <c r="N15" i="2"/>
  <c r="M15" i="2"/>
  <c r="K15" i="2"/>
  <c r="J15" i="2"/>
  <c r="I15" i="2"/>
  <c r="D15" i="2"/>
  <c r="N14" i="2"/>
  <c r="M14" i="2"/>
  <c r="K14" i="2"/>
  <c r="J14" i="2"/>
  <c r="I14" i="2"/>
  <c r="D14" i="2"/>
  <c r="N13" i="2"/>
  <c r="M13" i="2"/>
  <c r="K13" i="2"/>
  <c r="J13" i="2"/>
  <c r="I13" i="2"/>
  <c r="D13" i="2"/>
  <c r="N12" i="2"/>
  <c r="M12" i="2"/>
  <c r="K12" i="2"/>
  <c r="J12" i="2"/>
  <c r="I12" i="2"/>
  <c r="D12" i="2"/>
  <c r="N11" i="2"/>
  <c r="M11" i="2"/>
  <c r="K11" i="2"/>
  <c r="J11" i="2"/>
  <c r="I11" i="2"/>
  <c r="D11" i="2"/>
  <c r="N10" i="2"/>
  <c r="M10" i="2"/>
  <c r="K10" i="2"/>
  <c r="J10" i="2"/>
  <c r="I10" i="2"/>
  <c r="D10" i="2"/>
  <c r="N9" i="2"/>
  <c r="M9" i="2"/>
  <c r="K9" i="2"/>
  <c r="J9" i="2"/>
  <c r="I9" i="2"/>
  <c r="D9" i="2"/>
  <c r="N8" i="2"/>
  <c r="M8" i="2"/>
  <c r="K8" i="2"/>
  <c r="J8" i="2"/>
  <c r="I8" i="2"/>
  <c r="D8" i="2"/>
  <c r="N7" i="2"/>
  <c r="M7" i="2"/>
  <c r="K7" i="2"/>
  <c r="J7" i="2"/>
  <c r="I7" i="2"/>
  <c r="D7" i="2"/>
  <c r="N6" i="2"/>
  <c r="M6" i="2"/>
  <c r="K6" i="2"/>
  <c r="J6" i="2"/>
  <c r="I6" i="2"/>
  <c r="D6" i="2"/>
  <c r="N5" i="2"/>
  <c r="M5" i="2"/>
  <c r="K5" i="2"/>
  <c r="J5" i="2"/>
  <c r="I5" i="2"/>
  <c r="D5" i="2"/>
</calcChain>
</file>

<file path=xl/sharedStrings.xml><?xml version="1.0" encoding="utf-8"?>
<sst xmlns="http://schemas.openxmlformats.org/spreadsheetml/2006/main" count="335" uniqueCount="194">
  <si>
    <t>KEY DISTRICT SNAPSHOT</t>
  </si>
  <si>
    <t>130.79%</t>
  </si>
  <si>
    <t>Highest PMMY sanction</t>
  </si>
  <si>
    <t>Hyderabad</t>
  </si>
  <si>
    <t>₹4,596.03 Cr</t>
  </si>
  <si>
    <t>Highest PMMY accounts</t>
  </si>
  <si>
    <t>179,339</t>
  </si>
  <si>
    <t>Highest CD ratio</t>
  </si>
  <si>
    <t>Jangaon</t>
  </si>
  <si>
    <t>293.63%</t>
  </si>
  <si>
    <t>Lowest CD ratio</t>
  </si>
  <si>
    <t>Komaram Bheem Asifabad</t>
  </si>
  <si>
    <t>96.77%</t>
  </si>
  <si>
    <t>PMMY total</t>
  </si>
  <si>
    <t>Telangana</t>
  </si>
  <si>
    <t>₹16,563.21 Cr</t>
  </si>
  <si>
    <t>Primary sources: Telangana SLBC Annexure-G (PMMY), Telangana SLBC Annexure-4 (CD ratio), Ministry of MSME Udyog Aadhaar district dashboard.</t>
  </si>
  <si>
    <t>Integrated District View</t>
  </si>
  <si>
    <t>PMMY and CD ratio are aligned across 33 current districts. MSME registrations are joined only where the legacy source provides an explicit district match; unavailable matches remain blank.</t>
  </si>
  <si>
    <t>District</t>
  </si>
  <si>
    <t>PMMY Accounts</t>
  </si>
  <si>
    <t>PMMY Sanction ₹Cr</t>
  </si>
  <si>
    <t>Avg Sanction ₹/Account</t>
  </si>
  <si>
    <t>CD Ratio %</t>
  </si>
  <si>
    <t>Deposits ₹Cr</t>
  </si>
  <si>
    <t>Advances ₹Cr</t>
  </si>
  <si>
    <t>MSME Udyog Aadhaar</t>
  </si>
  <si>
    <t>PMMY Accounts / 100 MSMEs</t>
  </si>
  <si>
    <t>PMMY Sanction / MSME ₹Lakh</t>
  </si>
  <si>
    <t>CD Ratio Band</t>
  </si>
  <si>
    <t>MSME Join Status</t>
  </si>
  <si>
    <t>PMMY Share %</t>
  </si>
  <si>
    <t>Sanction Rank</t>
  </si>
  <si>
    <t>Adilabad</t>
  </si>
  <si>
    <t>Matched</t>
  </si>
  <si>
    <t>Bhadradri Kothagudem</t>
  </si>
  <si>
    <t>Jagitial</t>
  </si>
  <si>
    <t>Jayashankar Bhupalapally</t>
  </si>
  <si>
    <t>Jogulamba Gadwal</t>
  </si>
  <si>
    <t>Kamareddy</t>
  </si>
  <si>
    <t>Karimnagar</t>
  </si>
  <si>
    <t>Khammam</t>
  </si>
  <si>
    <t>Mahabubabad</t>
  </si>
  <si>
    <t>Mahbubnagar</t>
  </si>
  <si>
    <t>Mancherial</t>
  </si>
  <si>
    <t>Medak</t>
  </si>
  <si>
    <t>Medchal Malkajgiri</t>
  </si>
  <si>
    <t>Mulugu</t>
  </si>
  <si>
    <t>Not available in legacy source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</si>
  <si>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</si>
  <si>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</si>
  <si>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</si>
  <si>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</si>
  <si>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</si>
  <si>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</si>
  <si>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</si>
  <si>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</si>
  <si>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</si>
  <si>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</si>
  <si>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</si>
  <si>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</si>
  <si>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</si>
  <si>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</si>
  <si>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Hanamkonda</t>
  </si>
  <si>
    <t>Yadadri Bhuvanagiri</t>
  </si>
  <si>
    <t>TELANGANA TOTAL / SOURCE TOTALS</t>
  </si>
  <si>
    <t>—</t>
  </si>
  <si>
    <t>Source total</t>
  </si>
  <si>
    <t>Legacy MSME total; not a 33-district current join</t>
  </si>
  <si>
    <t>PMMY — District-wise Data | FY 2025–26</t>
  </si>
  <si>
    <t>Official Telangana SLBC Annexure-G; figures are sanction amounts in ₹ crore, as on 31 March 2026.</t>
  </si>
  <si>
    <t>Shishu Accounts</t>
  </si>
  <si>
    <t>Shishu ₹Cr</t>
  </si>
  <si>
    <t>Kishore Accounts</t>
  </si>
  <si>
    <t>Kishore ₹Cr</t>
  </si>
  <si>
    <t>Tarun Accounts</t>
  </si>
  <si>
    <t>Tarun ₹Cr</t>
  </si>
  <si>
    <t>Tarun Plus Accounts</t>
  </si>
  <si>
    <t>Tarun Plus ₹Cr</t>
  </si>
  <si>
    <t>Total Accounts</t>
  </si>
  <si>
    <t>Total Sanction ₹Cr</t>
  </si>
  <si>
    <t>Calculated Avg ₹/Account</t>
  </si>
  <si>
    <t>TELANGANA TOTAL</t>
  </si>
  <si>
    <t>District-wise Credit–Deposit Ratio</t>
  </si>
  <si>
    <t>Official Telangana SLBC Annexure-4, as on 31 March 2026. CD ratio = total advances / total deposits × 100.</t>
  </si>
  <si>
    <t>Branches</t>
  </si>
  <si>
    <t>Total Deposits ₹Cr</t>
  </si>
  <si>
    <t>Total Advances ₹Cr</t>
  </si>
  <si>
    <t>Source Check</t>
  </si>
  <si>
    <t>Mahabubnagar</t>
  </si>
  <si>
    <t>OK</t>
  </si>
  <si>
    <t>MSME Context — Udyog Aadhaar</t>
  </si>
  <si>
    <t>Official Ministry of MSME district-wise Udyog Aadhaar dashboard. This is a legacy registration series and has 32 Telangana entries; it is not the current Udyam registration series.</t>
  </si>
  <si>
    <t>Source District Name</t>
  </si>
  <si>
    <t>Total Udyog Aadhaar</t>
  </si>
  <si>
    <t>Micro</t>
  </si>
  <si>
    <t>Small</t>
  </si>
  <si>
    <t>Medium</t>
  </si>
  <si>
    <t>Composition Check</t>
  </si>
  <si>
    <t>ADILABAD</t>
  </si>
  <si>
    <t>BHADRADRI</t>
  </si>
  <si>
    <t>HYDERABAD</t>
  </si>
  <si>
    <t>JANGOAN</t>
  </si>
  <si>
    <t>JAYASHANKAR</t>
  </si>
  <si>
    <t>JOGULAMBA</t>
  </si>
  <si>
    <t>KAMAREDDY</t>
  </si>
  <si>
    <t>KARIMNAGAR</t>
  </si>
  <si>
    <t>KHAMMAM</t>
  </si>
  <si>
    <t>KOMARAM BHEEM ASIFABAD</t>
  </si>
  <si>
    <t>MAHABUBABAD</t>
  </si>
  <si>
    <t>MAHABUBNAGAR</t>
  </si>
  <si>
    <t>MANCHERIAL</t>
  </si>
  <si>
    <t>MEDAK</t>
  </si>
  <si>
    <t>MEDCHAL MALKAJGIRI</t>
  </si>
  <si>
    <t>NAGARKURNOOL</t>
  </si>
  <si>
    <t>NALGONDA</t>
  </si>
  <si>
    <t>NIZAMABAD</t>
  </si>
  <si>
    <t>PEDDAPALLI</t>
  </si>
  <si>
    <t>RAJANNA</t>
  </si>
  <si>
    <t>RANGA REDDI</t>
  </si>
  <si>
    <t>SANGAREDDY</t>
  </si>
  <si>
    <t>SIDDIPET</t>
  </si>
  <si>
    <t>SURYAPET</t>
  </si>
  <si>
    <t>VIKARABAD</t>
  </si>
  <si>
    <t>WANAPARTHY</t>
  </si>
  <si>
    <t>WARANGAL</t>
  </si>
  <si>
    <t>WARANGAL RURAL</t>
  </si>
  <si>
    <t>WARANGAL URBAN</t>
  </si>
  <si>
    <t>YADADRI</t>
  </si>
  <si>
    <t>Analytical Charts</t>
  </si>
  <si>
    <t>Source-verified visualizations for district comparison and PMMY product mix.</t>
  </si>
  <si>
    <t>Top 10 districts by PMMY sanction</t>
  </si>
  <si>
    <t>Sanction ₹Cr</t>
  </si>
  <si>
    <t>Highest 10 district CD ratios</t>
  </si>
  <si>
    <t>PMMY sanction mix by product</t>
  </si>
  <si>
    <t>Product</t>
  </si>
  <si>
    <t>Accounts</t>
  </si>
  <si>
    <t>Shishu</t>
  </si>
  <si>
    <t>Kishore</t>
  </si>
  <si>
    <t>Tarun</t>
  </si>
  <si>
    <t>Tarun Plus</t>
  </si>
  <si>
    <t>Data Quality &amp; Reconciliation Checks</t>
  </si>
  <si>
    <t>Automated checks designed to make the workbook auditable before submission.</t>
  </si>
  <si>
    <t>Check</t>
  </si>
  <si>
    <t>Workbook Result</t>
  </si>
  <si>
    <t>Official / Expected</t>
  </si>
  <si>
    <t>Status</t>
  </si>
  <si>
    <t>PMMY district count</t>
  </si>
  <si>
    <t>PASS</t>
  </si>
  <si>
    <t>PMMY account total</t>
  </si>
  <si>
    <t>PMMY sanction total ₹Cr</t>
  </si>
  <si>
    <t>CHECK</t>
  </si>
  <si>
    <t>CD district count</t>
  </si>
  <si>
    <t>CD deposits total ₹Cr</t>
  </si>
  <si>
    <t>CD advances total ₹Cr</t>
  </si>
  <si>
    <t>MSME legacy entries</t>
  </si>
  <si>
    <t>MSME legacy total</t>
  </si>
  <si>
    <t>Important interpretation note</t>
  </si>
  <si>
    <t>PMMY values are FY 2025–26 sanction figures reported by SLBC; the workbook labels them as sanction amounts.</t>
  </si>
  <si>
    <t>CD ratio is a broad banking indicator, not an MSME-specific credit penetration measure.</t>
  </si>
  <si>
    <t>Udyog Aadhaar is a legacy registration series. The Ministry source has 32 Telangana entries and historical district naming.</t>
  </si>
  <si>
    <t>Derived ratios are project calculations and should not be presented as official government indicators.</t>
  </si>
  <si>
    <t>Current 33-district PMMY/CD tables are not artificially forced into the 32-entry legacy MSME source.</t>
  </si>
  <si>
    <t>Sources, Definitions &amp; Method</t>
  </si>
  <si>
    <t>Official source links and transparent definitions for submission and viva/reference.</t>
  </si>
  <si>
    <t>Source</t>
  </si>
  <si>
    <t>Use in workbook</t>
  </si>
  <si>
    <t>Period / as-of</t>
  </si>
  <si>
    <t>Official link</t>
  </si>
  <si>
    <t>Notes</t>
  </si>
  <si>
    <t>Telangana SLBC — Annexure-G PMMY</t>
  </si>
  <si>
    <t>District-wise PMMY accounts and sanction amounts</t>
  </si>
  <si>
    <t>FY 2025–26, as of 31 Mar 2026</t>
  </si>
  <si>
    <t>https://telanganaslbc.com/wp-content/uploads/2026/14%20CQR%20Annexures%20Mar2026.pdf</t>
  </si>
  <si>
    <t>33 current districts; 1,005,976 accounts; ₹16,563.2116 Cr.</t>
  </si>
  <si>
    <t>Telangana SLBC — Annexure-4 CD Ratio</t>
  </si>
  <si>
    <t>District branches, deposits, advances and CD ratio</t>
  </si>
  <si>
    <t>As of 31 Mar 2026</t>
  </si>
  <si>
    <t>33 current districts; state CD ratio 130.7851%.</t>
  </si>
  <si>
    <t>Ministry of MSME — Udyog Aadhaar district dashboard</t>
  </si>
  <si>
    <t>MSME registration context</t>
  </si>
  <si>
    <t>Legacy Udyog Aadhaar series</t>
  </si>
  <si>
    <t>https://dashboard.msme.gov.in/uam_dist_wise.aspx?stid=36</t>
  </si>
  <si>
    <t>32 Telangana entries; total 246,085; not current Udyam series.</t>
  </si>
  <si>
    <t>Key definitions</t>
  </si>
  <si>
    <t>PMMY sanction amount</t>
  </si>
  <si>
    <t>Sanction amount reported by SLBC for FY 2025–26; not an outstanding balance or MSME-only measure.</t>
  </si>
  <si>
    <t>CD ratio</t>
  </si>
  <si>
    <t>Total advances ÷ total deposits × 100.</t>
  </si>
  <si>
    <t>PMMY accounts / 100 MSMEs</t>
  </si>
  <si>
    <t>Project-derived ratio using PMMY accounts ÷ legacy Udyog Aadhaar registrations × 100 where a district match exists.</t>
  </si>
  <si>
    <t>PMMY sanction / MSME</t>
  </si>
  <si>
    <t>Project-derived ₹ lakh per legacy Udyog Aadhaar registration: sanction ₹ crore × 10 ÷ registrations.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</si>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</sst>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7"/>
      <color rgb="FF1F4E78"/>
      <name val="Calibri"/>
      <family val="2"/>
    </font>
    <font>
      <b/>
      <sz val="11"/>
      <color rgb="FFFFFFFF"/>
      <name val="Calibri"/>
      <family val="2"/>
    </font>
    <font>
      <b/>
      <sz val="8"/>
      <color rgb="FF666666"/>
      <name val="Calibri"/>
      <family val="2"/>
    </font>
    <font>
      <b/>
      <sz val="9"/>
      <color rgb="FF333333"/>
      <name val="Calibri"/>
      <family val="2"/>
    </font>
    <font>
      <b/>
      <sz val="9"/>
      <color rgb="FF1F4E78"/>
      <name val="Calibri"/>
      <family val="2"/>
    </font>
    <font>
      <i/>
      <sz val="8"/>
      <color rgb="FF666666"/>
      <name val="Calibri"/>
      <family val="2"/>
    </font>
    <font>
      <b/>
      <sz val="11"/>
      <color rgb="FF70AD47"/>
      <name val="Calibri"/>
      <family val="2"/>
    </font>
    <font>
      <b/>
      <sz val="11"/>
      <color rgb="FFC00000"/>
      <name val="Calibri"/>
      <family val="2"/>
    </font>
    <font>
      <b/>
      <sz val="11"/>
      <color rgb="FF1F4E78"/>
      <name val="Calibri"/>
      <family val="2"/>
    </font>
    <font>
      <sz val="10"/>
      <color rgb="FF333333"/>
      <name val="Calibri"/>
      <family val="2"/>
    </font>
    <font>
      <sz val="12"/>
      <color theme="10"/>
      <name val="Calibri"/>
      <family val="2"/>
      <scheme val="minor"/>
    </font>
    <font>
      <b/>
      <sz val="12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5" fillId="0" borderId="0"/>
  </cellStyleXfs>
  <cellXfs count="29">
    <xf numFmtId="0" fontId="0" fillId="0" borderId="0" xfId="0"/>
    <xf numFmtId="0" fontId="0" fillId="0" borderId="1" xfId="0" applyBorder="1"/>
    <xf numFmtId="0" fontId="5" fillId="0" borderId="0" xfId="0" applyFont="1"/>
    <xf numFmtId="0" fontId="7" fillId="0" borderId="1" xfId="0" applyFont="1" applyBorder="1"/>
    <xf numFmtId="0" fontId="8" fillId="0" borderId="1" xfId="0" applyFont="1" applyBorder="1"/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4" fillId="3" borderId="1" xfId="0" applyFont="1" applyFill="1" applyBorder="1"/>
    <xf numFmtId="164" fontId="0" fillId="0" borderId="0" xfId="0" applyNumberFormat="1"/>
    <xf numFmtId="0" fontId="13" fillId="0" borderId="0" xfId="0" applyFont="1"/>
    <xf numFmtId="0" fontId="3" fillId="2" borderId="0" xfId="0" applyFont="1" applyFill="1"/>
    <xf numFmtId="0" fontId="11" fillId="0" borderId="1" xfId="0" applyFont="1" applyBorder="1"/>
    <xf numFmtId="0" fontId="12" fillId="0" borderId="1" xfId="0" applyFont="1" applyBorder="1"/>
    <xf numFmtId="0" fontId="0" fillId="0" borderId="1" xfId="0" applyBorder="1" applyAlignment="1">
      <alignment vertical="top" wrapText="1"/>
    </xf>
    <xf numFmtId="0" fontId="15" fillId="0" borderId="1" xfId="1" applyBorder="1" applyAlignment="1">
      <alignment vertical="top" wrapText="1"/>
    </xf>
    <xf numFmtId="0" fontId="16" fillId="0" borderId="0" xfId="0" applyFont="1"/>
    <xf numFmtId="0" fontId="4" fillId="0" borderId="0" xfId="0" applyFont="1"/>
    <xf numFmtId="0" fontId="9" fillId="0" borderId="1" xfId="0" applyFont="1" applyBorder="1"/>
    <xf numFmtId="0" fontId="0" fillId="0" borderId="1" xfId="0" applyBorder="1"/>
    <xf numFmtId="0" fontId="6" fillId="2" borderId="1" xfId="0" applyFont="1" applyFill="1" applyBorder="1"/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14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</dxf>
    <dxf>
      <numFmt numFmtId="2" formatCode="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PMMY sanction districts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4092592592592595E-2"/>
          <c:y val="3.9687500000000001E-2"/>
          <c:w val="0.67229296296296293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Charts!$A$5:$A$15</c:f>
              <c:strCache>
                <c:ptCount val="11"/>
                <c:pt idx="0">
                  <c:v>District</c:v>
                </c:pt>
                <c:pt idx="1">
                  <c:v>Hyderabad</c:v>
                </c:pt>
                <c:pt idx="2">
                  <c:v>Rangareddy</c:v>
                </c:pt>
                <c:pt idx="3">
                  <c:v>Khammam</c:v>
                </c:pt>
                <c:pt idx="4">
                  <c:v>Medchal Malkajgiri</c:v>
                </c:pt>
                <c:pt idx="5">
                  <c:v>Nizamabad</c:v>
                </c:pt>
                <c:pt idx="6">
                  <c:v>Nalgonda</c:v>
                </c:pt>
                <c:pt idx="7">
                  <c:v>Karimnagar</c:v>
                </c:pt>
                <c:pt idx="8">
                  <c:v>Sangareddy</c:v>
                </c:pt>
                <c:pt idx="9">
                  <c:v>Warangal</c:v>
                </c:pt>
                <c:pt idx="10">
                  <c:v>Bhadradri Kothagudem</c:v>
                </c:pt>
              </c:strCache>
            </c:strRef>
          </c:cat>
          <c:val>
            <c:numRef>
              <c:f>Charts!$B$5:$B$15</c:f>
              <c:numCache>
                <c:formatCode>#,##0.00</c:formatCode>
                <c:ptCount val="11"/>
                <c:pt idx="0" formatCode="General">
                  <c:v>0</c:v>
                </c:pt>
                <c:pt idx="1">
                  <c:v>4596.03</c:v>
                </c:pt>
                <c:pt idx="2">
                  <c:v>1068.04</c:v>
                </c:pt>
                <c:pt idx="3">
                  <c:v>923.4</c:v>
                </c:pt>
                <c:pt idx="4">
                  <c:v>907.01</c:v>
                </c:pt>
                <c:pt idx="5">
                  <c:v>785.43</c:v>
                </c:pt>
                <c:pt idx="6">
                  <c:v>783.65</c:v>
                </c:pt>
                <c:pt idx="7">
                  <c:v>726.25</c:v>
                </c:pt>
                <c:pt idx="8">
                  <c:v>625.57000000000005</c:v>
                </c:pt>
                <c:pt idx="9">
                  <c:v>470.47</c:v>
                </c:pt>
                <c:pt idx="10">
                  <c:v>417.1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FD4-9929-5DB5DA747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District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Highest 10 district CD ratios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583333333333333"/>
          <c:y val="9.7013888888888886E-2"/>
          <c:w val="0.70350203703703706"/>
          <c:h val="0.822666755207855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Charts!$B$19</c:f>
              <c:strCache>
                <c:ptCount val="1"/>
                <c:pt idx="0">
                  <c:v>CD Ratio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Charts!$A$20:$A$29</c:f>
              <c:strCache>
                <c:ptCount val="10"/>
                <c:pt idx="0">
                  <c:v>Jangaon</c:v>
                </c:pt>
                <c:pt idx="1">
                  <c:v>Suryapet</c:v>
                </c:pt>
                <c:pt idx="2">
                  <c:v>Mahabubabad</c:v>
                </c:pt>
                <c:pt idx="3">
                  <c:v>Medak</c:v>
                </c:pt>
                <c:pt idx="4">
                  <c:v>Nagarkurnool</c:v>
                </c:pt>
                <c:pt idx="5">
                  <c:v>Nalgonda</c:v>
                </c:pt>
                <c:pt idx="6">
                  <c:v>Nirmal</c:v>
                </c:pt>
                <c:pt idx="7">
                  <c:v>Jogulamba Gadwal</c:v>
                </c:pt>
                <c:pt idx="8">
                  <c:v>Wanaparthy</c:v>
                </c:pt>
                <c:pt idx="9">
                  <c:v>Yadadri Bhuvanagiri</c:v>
                </c:pt>
              </c:strCache>
            </c:strRef>
          </c:cat>
          <c:val>
            <c:numRef>
              <c:f>Charts!$B$20:$B$29</c:f>
              <c:numCache>
                <c:formatCode>0.00</c:formatCode>
                <c:ptCount val="10"/>
                <c:pt idx="0">
                  <c:v>293.63</c:v>
                </c:pt>
                <c:pt idx="1">
                  <c:v>289.33999999999997</c:v>
                </c:pt>
                <c:pt idx="2">
                  <c:v>288.5</c:v>
                </c:pt>
                <c:pt idx="3">
                  <c:v>246.92</c:v>
                </c:pt>
                <c:pt idx="4">
                  <c:v>238.88</c:v>
                </c:pt>
                <c:pt idx="5">
                  <c:v>233.34</c:v>
                </c:pt>
                <c:pt idx="6">
                  <c:v>230.47</c:v>
                </c:pt>
                <c:pt idx="7">
                  <c:v>228.74</c:v>
                </c:pt>
                <c:pt idx="8">
                  <c:v>227.18</c:v>
                </c:pt>
                <c:pt idx="9">
                  <c:v>224.41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5-45D7-AD18-A755DB73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CD ratio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District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846105174353201"/>
          <c:y val="0.11452604166666666"/>
          <c:w val="0.18153894825646791"/>
          <c:h val="0.75278421633844961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PMMY sanction by product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7797619047619045E-2"/>
          <c:y val="0.11087301587301587"/>
          <c:w val="0.7794388888888889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Charts!$C$33</c:f>
              <c:strCache>
                <c:ptCount val="1"/>
                <c:pt idx="0">
                  <c:v>Sanction ₹Cr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Charts!$A$34:$A$37</c:f>
              <c:strCache>
                <c:ptCount val="4"/>
                <c:pt idx="0">
                  <c:v>Shishu</c:v>
                </c:pt>
                <c:pt idx="1">
                  <c:v>Kishore</c:v>
                </c:pt>
                <c:pt idx="2">
                  <c:v>Tarun</c:v>
                </c:pt>
                <c:pt idx="3">
                  <c:v>Tarun Plus</c:v>
                </c:pt>
              </c:strCache>
            </c:strRef>
          </c:cat>
          <c:val>
            <c:numRef>
              <c:f>Charts!$C$34:$C$37</c:f>
              <c:numCache>
                <c:formatCode>#,##0.00</c:formatCode>
                <c:ptCount val="4"/>
                <c:pt idx="0">
                  <c:v>1861.44</c:v>
                </c:pt>
                <c:pt idx="1">
                  <c:v>6837.42</c:v>
                </c:pt>
                <c:pt idx="2">
                  <c:v>6402.45</c:v>
                </c:pt>
                <c:pt idx="3">
                  <c:v>1461.89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8-4EA5-BAC6-DA8599133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crore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186267</xdr:colOff>
      <xdr:row>19</xdr:row>
      <xdr:rowOff>110066</xdr:rowOff>
    </xdr:from>
    <xdr:ext cx="5689600" cy="284613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414866</xdr:colOff>
      <xdr:row>36</xdr:row>
      <xdr:rowOff>135467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0C34A-D85B-423C-BB39-80E083BF5F7A}" name="Table1" displayName="Table1" ref="A4:B15" totalsRowShown="0">
  <autoFilter ref="A4:B15" xr:uid="{5D70C34A-D85B-423C-BB39-80E083BF5F7A}"/>
  <tableColumns count="2">
    <tableColumn id="1" xr3:uid="{E47CEB5F-896E-4FB4-A9D8-8B6730A4E799}" name="Top 10 districts by PMMY sanction"/>
    <tableColumn id="2" xr3:uid="{C11E7357-2F3F-4EE2-91A4-B9BE0A050F1C}" name="Column1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8D4CA2-7D0D-4631-A7F5-A39E8C8F00E8}" name="Table2" displayName="Table2" ref="A19:B29" totalsRowShown="0" headerRowDxfId="0">
  <autoFilter ref="A19:B29" xr:uid="{0E8D4CA2-7D0D-4631-A7F5-A39E8C8F00E8}"/>
  <tableColumns count="2">
    <tableColumn id="1" xr3:uid="{F0044B11-C586-4A21-8BA7-702911CC62A7}" name="District"/>
    <tableColumn id="2" xr3:uid="{7E8A7BA6-2756-4A70-81F6-1F5DB76CF8CF}" name="CD Ratio %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shboard.msme.gov.in/uam_dist_wise.aspx?stid=36" TargetMode="External"/><Relationship Id="rId2" Type="http://schemas.openxmlformats.org/officeDocument/2006/relationships/hyperlink" Target="https://telanganaslbc.com/wp-content/uploads/2026/14%20CQR%20Annexures%20Mar2026.pdf" TargetMode="External"/><Relationship Id="rId1" Type="http://schemas.openxmlformats.org/officeDocument/2006/relationships/hyperlink" Target="https://telanganaslbc.com/wp-content/uploads/2026/14%20CQR%20Annexures%20Mar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zoomScale="90" workbookViewId="0">
      <selection activeCell="F23" sqref="F23"/>
    </sheetView>
  </sheetViews>
  <sheetFormatPr defaultRowHeight="14.4" x14ac:dyDescent="0.3"/>
  <cols>
    <col min="1" max="1" width="13.6640625" customWidth="1"/>
    <col min="2" max="2" width="15.6640625" bestFit="1" customWidth="1"/>
    <col min="3" max="3" width="20.21875" bestFit="1" customWidth="1"/>
    <col min="4" max="4" width="8.88671875" customWidth="1"/>
    <col min="7" max="7" width="12.5546875" bestFit="1" customWidth="1"/>
    <col min="8" max="8" width="15.6640625" bestFit="1" customWidth="1"/>
    <col min="9" max="9" width="20.21875" bestFit="1" customWidth="1"/>
    <col min="10" max="10" width="10.44140625" customWidth="1"/>
  </cols>
  <sheetData>
    <row r="1" spans="1:6" x14ac:dyDescent="0.3">
      <c r="B1" s="23" t="s">
        <v>0</v>
      </c>
      <c r="C1" s="22"/>
      <c r="D1" s="22"/>
      <c r="E1" s="22"/>
      <c r="F1" s="22"/>
    </row>
    <row r="2" spans="1:6" ht="22.2" x14ac:dyDescent="0.45">
      <c r="A2" s="2" t="s">
        <v>1</v>
      </c>
      <c r="B2" s="3" t="s">
        <v>2</v>
      </c>
      <c r="C2" s="4" t="s">
        <v>3</v>
      </c>
      <c r="D2" s="21" t="s">
        <v>4</v>
      </c>
      <c r="E2" s="22"/>
      <c r="F2" s="22"/>
    </row>
    <row r="3" spans="1:6" x14ac:dyDescent="0.3">
      <c r="B3" s="3" t="s">
        <v>5</v>
      </c>
      <c r="C3" s="4" t="s">
        <v>3</v>
      </c>
      <c r="D3" s="21" t="s">
        <v>6</v>
      </c>
      <c r="E3" s="22"/>
      <c r="F3" s="22"/>
    </row>
    <row r="4" spans="1:6" x14ac:dyDescent="0.3">
      <c r="B4" s="3" t="s">
        <v>7</v>
      </c>
      <c r="C4" s="4" t="s">
        <v>8</v>
      </c>
      <c r="D4" s="21" t="s">
        <v>9</v>
      </c>
      <c r="E4" s="22"/>
      <c r="F4" s="22"/>
    </row>
    <row r="5" spans="1:6" x14ac:dyDescent="0.3">
      <c r="B5" s="3" t="s">
        <v>10</v>
      </c>
      <c r="C5" s="4" t="s">
        <v>11</v>
      </c>
      <c r="D5" s="21" t="s">
        <v>12</v>
      </c>
      <c r="E5" s="22"/>
      <c r="F5" s="22"/>
    </row>
    <row r="6" spans="1:6" x14ac:dyDescent="0.3">
      <c r="B6" s="3" t="s">
        <v>13</v>
      </c>
      <c r="C6" s="4" t="s">
        <v>14</v>
      </c>
      <c r="D6" s="21" t="s">
        <v>15</v>
      </c>
      <c r="E6" s="22"/>
      <c r="F6" s="22"/>
    </row>
    <row r="17" spans="1:1" x14ac:dyDescent="0.3">
      <c r="A17" s="5" t="s">
        <v>16</v>
      </c>
    </row>
  </sheetData>
  <mergeCells count="6">
    <mergeCell ref="B1:F1"/>
    <mergeCell ref="D4:F4"/>
    <mergeCell ref="D2:F2"/>
    <mergeCell ref="D3:F3"/>
    <mergeCell ref="D5:F5"/>
    <mergeCell ref="D6:F6"/>
  </mergeCells>
  <pageMargins left="0.25" right="0.25" top="0.4" bottom="0.4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topLeftCell="F1" zoomScale="90" workbookViewId="0">
      <pane ySplit="4" topLeftCell="A5" activePane="bottomLeft" state="frozen"/>
      <selection pane="bottomLeft" sqref="A1:N1"/>
    </sheetView>
  </sheetViews>
  <sheetFormatPr defaultRowHeight="14.4" x14ac:dyDescent="0.3"/>
  <cols>
    <col min="1" max="1" width="34.44140625" bestFit="1" customWidth="1"/>
    <col min="2" max="2" width="20.44140625" bestFit="1" customWidth="1"/>
    <col min="3" max="3" width="23.44140625" bestFit="1" customWidth="1"/>
    <col min="4" max="4" width="26.88671875" bestFit="1" customWidth="1"/>
    <col min="5" max="5" width="15.5546875" bestFit="1" customWidth="1"/>
    <col min="6" max="6" width="17.109375" bestFit="1" customWidth="1"/>
    <col min="7" max="7" width="17.77734375" bestFit="1" customWidth="1"/>
    <col min="8" max="8" width="25.6640625" bestFit="1" customWidth="1"/>
    <col min="9" max="9" width="33" bestFit="1" customWidth="1"/>
    <col min="10" max="10" width="33.44140625" bestFit="1" customWidth="1"/>
    <col min="11" max="11" width="18.5546875" bestFit="1" customWidth="1"/>
    <col min="12" max="12" width="44.109375" bestFit="1" customWidth="1"/>
    <col min="13" max="13" width="19.44140625" customWidth="1"/>
    <col min="14" max="14" width="18.21875" bestFit="1" customWidth="1"/>
  </cols>
  <sheetData>
    <row r="1" spans="1:14" ht="30" customHeight="1" x14ac:dyDescent="0.3">
      <c r="A1" s="26" t="s">
        <v>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3">
      <c r="A2" s="24" t="s">
        <v>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spans="1:14" ht="28.8" x14ac:dyDescent="0.3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</row>
    <row r="5" spans="1:14" x14ac:dyDescent="0.3">
      <c r="A5" t="s">
        <v>33</v>
      </c>
      <c r="B5" s="7">
        <v>45885</v>
      </c>
      <c r="C5" s="8">
        <v>404.27</v>
      </c>
      <c r="D5" s="8">
        <f t="shared" ref="D5:D37" si="0">IFERROR(C5*10000000/B5,0)</f>
        <v>88105.045221750028</v>
      </c>
      <c r="E5" s="9">
        <v>163.80000000000001</v>
      </c>
      <c r="F5" s="8">
        <v>4998.4799999999996</v>
      </c>
      <c r="G5" s="8">
        <v>8187.28</v>
      </c>
      <c r="H5" s="7">
        <v>3691</v>
      </c>
      <c r="I5" s="10">
        <f t="shared" ref="I5:I37" si="1">IFERROR(B5/H5*100,"")</f>
        <v>1243.1590354917366</v>
      </c>
      <c r="J5" s="9">
        <f t="shared" ref="J5:J37" si="2">IFERROR(C5/H5*10,"")</f>
        <v>1.095285830398266</v>
      </c>
      <c r="K5" t="str">
        <f t="shared" ref="K5:K37" si="3">IF(E5&lt;100,"Below 100%",IF(E5&lt;150,"100–149.99%","150%+"))</f>
        <v>150%+</v>
      </c>
      <c r="L5" t="s">
        <v>34</v>
      </c>
      <c r="M5" s="10">
        <f t="shared" ref="M5:M37" si="4">IFERROR(C5/SUM($C$5:$C$37)*100,0)</f>
        <v>2.4407693673090138</v>
      </c>
      <c r="N5" s="7">
        <f t="shared" ref="N5:N37" si="5">RANK(C5,$C$5:$C$37,0)</f>
        <v>11</v>
      </c>
    </row>
    <row r="6" spans="1:14" x14ac:dyDescent="0.3">
      <c r="A6" t="s">
        <v>35</v>
      </c>
      <c r="B6" s="7">
        <v>39236</v>
      </c>
      <c r="C6" s="8">
        <v>417.1</v>
      </c>
      <c r="D6" s="8">
        <f t="shared" si="0"/>
        <v>106305.43378529922</v>
      </c>
      <c r="E6" s="9">
        <v>138.87</v>
      </c>
      <c r="F6" s="8">
        <v>8835.09</v>
      </c>
      <c r="G6" s="8">
        <v>12269.3</v>
      </c>
      <c r="H6" s="7">
        <v>1444</v>
      </c>
      <c r="I6" s="10">
        <f t="shared" si="1"/>
        <v>2717.174515235457</v>
      </c>
      <c r="J6" s="9">
        <f t="shared" si="2"/>
        <v>2.8885041551246537</v>
      </c>
      <c r="K6" t="str">
        <f t="shared" si="3"/>
        <v>100–149.99%</v>
      </c>
      <c r="L6" t="s">
        <v>34</v>
      </c>
      <c r="M6" s="10">
        <f t="shared" si="4"/>
        <v>2.5182301509006106</v>
      </c>
      <c r="N6" s="7">
        <f t="shared" si="5"/>
        <v>10</v>
      </c>
    </row>
    <row r="7" spans="1:14" x14ac:dyDescent="0.3">
      <c r="A7" t="s">
        <v>3</v>
      </c>
      <c r="B7" s="7">
        <v>179339</v>
      </c>
      <c r="C7" s="8">
        <v>4596.03</v>
      </c>
      <c r="D7" s="8">
        <f t="shared" si="0"/>
        <v>256276.10279972566</v>
      </c>
      <c r="E7" s="9">
        <v>113.19</v>
      </c>
      <c r="F7" s="8">
        <v>484570.76</v>
      </c>
      <c r="G7" s="8">
        <v>548463.19999999995</v>
      </c>
      <c r="H7" s="7">
        <v>47419</v>
      </c>
      <c r="I7" s="10">
        <f t="shared" si="1"/>
        <v>378.20072122988677</v>
      </c>
      <c r="J7" s="9">
        <f t="shared" si="2"/>
        <v>0.96923806912840849</v>
      </c>
      <c r="K7" t="str">
        <f t="shared" si="3"/>
        <v>100–149.99%</v>
      </c>
      <c r="L7" t="s">
        <v>34</v>
      </c>
      <c r="M7" s="10">
        <f t="shared" si="4"/>
        <v>27.748408823888109</v>
      </c>
      <c r="N7" s="7">
        <f t="shared" si="5"/>
        <v>1</v>
      </c>
    </row>
    <row r="8" spans="1:14" x14ac:dyDescent="0.3">
      <c r="A8" t="s">
        <v>36</v>
      </c>
      <c r="B8" s="7">
        <v>16522</v>
      </c>
      <c r="C8" s="8">
        <v>232.58</v>
      </c>
      <c r="D8" s="8">
        <f t="shared" si="0"/>
        <v>140769.88258080135</v>
      </c>
      <c r="E8" s="9">
        <v>148.19</v>
      </c>
      <c r="F8" s="8">
        <v>7080.96</v>
      </c>
      <c r="G8" s="8">
        <v>10493.27</v>
      </c>
      <c r="H8" s="7">
        <v>2432</v>
      </c>
      <c r="I8" s="10">
        <f t="shared" si="1"/>
        <v>679.35855263157896</v>
      </c>
      <c r="J8" s="9">
        <f t="shared" si="2"/>
        <v>0.95633223684210522</v>
      </c>
      <c r="K8" t="str">
        <f t="shared" si="3"/>
        <v>100–149.99%</v>
      </c>
      <c r="L8" t="s">
        <v>34</v>
      </c>
      <c r="M8" s="10">
        <f t="shared" si="4"/>
        <v>1.4041955610080652</v>
      </c>
      <c r="N8" s="7">
        <f t="shared" si="5"/>
        <v>21</v>
      </c>
    </row>
    <row r="9" spans="1:14" x14ac:dyDescent="0.3">
      <c r="A9" t="s">
        <v>8</v>
      </c>
      <c r="B9" s="7">
        <v>10541</v>
      </c>
      <c r="C9" s="8">
        <v>130.55000000000001</v>
      </c>
      <c r="D9" s="8">
        <f t="shared" si="0"/>
        <v>123849.72962717009</v>
      </c>
      <c r="E9" s="9">
        <v>293.63</v>
      </c>
      <c r="F9" s="8">
        <v>2321.61</v>
      </c>
      <c r="G9" s="8">
        <v>6816.95</v>
      </c>
      <c r="H9" s="7">
        <v>639</v>
      </c>
      <c r="I9" s="10">
        <f t="shared" si="1"/>
        <v>1649.6087636932707</v>
      </c>
      <c r="J9" s="9">
        <f t="shared" si="2"/>
        <v>2.0430359937402192</v>
      </c>
      <c r="K9" t="str">
        <f t="shared" si="3"/>
        <v>150%+</v>
      </c>
      <c r="L9" t="s">
        <v>34</v>
      </c>
      <c r="M9" s="10">
        <f t="shared" si="4"/>
        <v>0.78819215104309437</v>
      </c>
      <c r="N9" s="7">
        <f t="shared" si="5"/>
        <v>29</v>
      </c>
    </row>
    <row r="10" spans="1:14" x14ac:dyDescent="0.3">
      <c r="A10" t="s">
        <v>37</v>
      </c>
      <c r="B10" s="7">
        <v>10399</v>
      </c>
      <c r="C10" s="8">
        <v>109.4</v>
      </c>
      <c r="D10" s="8">
        <f t="shared" si="0"/>
        <v>105202.42330993364</v>
      </c>
      <c r="E10" s="9">
        <v>152.13999999999999</v>
      </c>
      <c r="F10" s="8">
        <v>2165.37</v>
      </c>
      <c r="G10" s="8">
        <v>3294.34</v>
      </c>
      <c r="H10" s="7">
        <v>1081</v>
      </c>
      <c r="I10" s="10">
        <f t="shared" si="1"/>
        <v>961.97964847363551</v>
      </c>
      <c r="J10" s="9">
        <f t="shared" si="2"/>
        <v>1.0120259019426456</v>
      </c>
      <c r="K10" t="str">
        <f t="shared" si="3"/>
        <v>150%+</v>
      </c>
      <c r="L10" t="s">
        <v>34</v>
      </c>
      <c r="M10" s="10">
        <f t="shared" si="4"/>
        <v>0.66049958884806226</v>
      </c>
      <c r="N10" s="7">
        <f t="shared" si="5"/>
        <v>30</v>
      </c>
    </row>
    <row r="11" spans="1:14" x14ac:dyDescent="0.3">
      <c r="A11" t="s">
        <v>38</v>
      </c>
      <c r="B11" s="7">
        <v>12484</v>
      </c>
      <c r="C11" s="8">
        <v>201.99</v>
      </c>
      <c r="D11" s="8">
        <f t="shared" si="0"/>
        <v>161799.10285165012</v>
      </c>
      <c r="E11" s="9">
        <v>228.74</v>
      </c>
      <c r="F11" s="8">
        <v>2458.12</v>
      </c>
      <c r="G11" s="8">
        <v>5622.77</v>
      </c>
      <c r="H11" s="7">
        <v>1107</v>
      </c>
      <c r="I11" s="10">
        <f t="shared" si="1"/>
        <v>1127.7326106594398</v>
      </c>
      <c r="J11" s="9">
        <f t="shared" si="2"/>
        <v>1.8246612466124663</v>
      </c>
      <c r="K11" t="str">
        <f t="shared" si="3"/>
        <v>150%+</v>
      </c>
      <c r="L11" t="s">
        <v>34</v>
      </c>
      <c r="M11" s="10">
        <f t="shared" si="4"/>
        <v>1.2195092500129809</v>
      </c>
      <c r="N11" s="7">
        <f t="shared" si="5"/>
        <v>26</v>
      </c>
    </row>
    <row r="12" spans="1:14" x14ac:dyDescent="0.3">
      <c r="A12" t="s">
        <v>39</v>
      </c>
      <c r="B12" s="7">
        <v>16353</v>
      </c>
      <c r="C12" s="8">
        <v>221.53</v>
      </c>
      <c r="D12" s="8">
        <f t="shared" si="0"/>
        <v>135467.49831835137</v>
      </c>
      <c r="E12" s="9">
        <v>211.12</v>
      </c>
      <c r="F12" s="8">
        <v>4635.78</v>
      </c>
      <c r="G12" s="8">
        <v>9786.9500000000007</v>
      </c>
      <c r="H12" s="7">
        <v>2572</v>
      </c>
      <c r="I12" s="10">
        <f t="shared" si="1"/>
        <v>635.80870917573873</v>
      </c>
      <c r="J12" s="9">
        <f t="shared" si="2"/>
        <v>0.86131415241057541</v>
      </c>
      <c r="K12" t="str">
        <f t="shared" si="3"/>
        <v>150%+</v>
      </c>
      <c r="L12" t="s">
        <v>34</v>
      </c>
      <c r="M12" s="10">
        <f t="shared" si="4"/>
        <v>1.3374814800503769</v>
      </c>
      <c r="N12" s="7">
        <f t="shared" si="5"/>
        <v>23</v>
      </c>
    </row>
    <row r="13" spans="1:14" x14ac:dyDescent="0.3">
      <c r="A13" t="s">
        <v>40</v>
      </c>
      <c r="B13" s="7">
        <v>66569</v>
      </c>
      <c r="C13" s="8">
        <v>726.25</v>
      </c>
      <c r="D13" s="8">
        <f t="shared" si="0"/>
        <v>109097.32758491189</v>
      </c>
      <c r="E13" s="9">
        <v>132.79</v>
      </c>
      <c r="F13" s="8">
        <v>15062.25</v>
      </c>
      <c r="G13" s="8">
        <v>20000.689999999999</v>
      </c>
      <c r="H13" s="7">
        <v>18906</v>
      </c>
      <c r="I13" s="10">
        <f t="shared" si="1"/>
        <v>352.10515180366019</v>
      </c>
      <c r="J13" s="9">
        <f t="shared" si="2"/>
        <v>0.38413731090659048</v>
      </c>
      <c r="K13" t="str">
        <f t="shared" si="3"/>
        <v>100–149.99%</v>
      </c>
      <c r="L13" t="s">
        <v>34</v>
      </c>
      <c r="M13" s="10">
        <f t="shared" si="4"/>
        <v>4.3847150493684204</v>
      </c>
      <c r="N13" s="7">
        <f t="shared" si="5"/>
        <v>7</v>
      </c>
    </row>
    <row r="14" spans="1:14" x14ac:dyDescent="0.3">
      <c r="A14" t="s">
        <v>41</v>
      </c>
      <c r="B14" s="7">
        <v>77289</v>
      </c>
      <c r="C14" s="8">
        <v>923.4</v>
      </c>
      <c r="D14" s="8">
        <f t="shared" si="0"/>
        <v>119473.66378139192</v>
      </c>
      <c r="E14" s="9">
        <v>205.17</v>
      </c>
      <c r="F14" s="8">
        <v>13115.03</v>
      </c>
      <c r="G14" s="8">
        <v>26908.61</v>
      </c>
      <c r="H14" s="7">
        <v>6244</v>
      </c>
      <c r="I14" s="10">
        <f t="shared" si="1"/>
        <v>1237.8122998078154</v>
      </c>
      <c r="J14" s="9">
        <f t="shared" si="2"/>
        <v>1.4788597053171042</v>
      </c>
      <c r="K14" t="str">
        <f t="shared" si="3"/>
        <v>150%+</v>
      </c>
      <c r="L14" t="s">
        <v>34</v>
      </c>
      <c r="M14" s="10">
        <f t="shared" si="4"/>
        <v>5.5750029281745945</v>
      </c>
      <c r="N14" s="7">
        <f t="shared" si="5"/>
        <v>3</v>
      </c>
    </row>
    <row r="15" spans="1:14" x14ac:dyDescent="0.3">
      <c r="A15" t="s">
        <v>11</v>
      </c>
      <c r="B15" s="7">
        <v>6951</v>
      </c>
      <c r="C15" s="8">
        <v>79.569999999999993</v>
      </c>
      <c r="D15" s="8">
        <f t="shared" si="0"/>
        <v>114472.7377355776</v>
      </c>
      <c r="E15" s="9">
        <v>96.77</v>
      </c>
      <c r="F15" s="8">
        <v>2594.58</v>
      </c>
      <c r="G15" s="8">
        <v>2510.7800000000002</v>
      </c>
      <c r="H15" s="7">
        <v>344</v>
      </c>
      <c r="I15" s="10">
        <f t="shared" si="1"/>
        <v>2020.6395348837209</v>
      </c>
      <c r="J15" s="9">
        <f t="shared" si="2"/>
        <v>2.3130813953488367</v>
      </c>
      <c r="K15" t="str">
        <f t="shared" si="3"/>
        <v>Below 100%</v>
      </c>
      <c r="L15" t="s">
        <v>34</v>
      </c>
      <c r="M15" s="10">
        <f t="shared" si="4"/>
        <v>0.48040175762925325</v>
      </c>
      <c r="N15" s="7">
        <f t="shared" si="5"/>
        <v>32</v>
      </c>
    </row>
    <row r="16" spans="1:14" x14ac:dyDescent="0.3">
      <c r="A16" t="s">
        <v>42</v>
      </c>
      <c r="B16" s="7">
        <v>19998</v>
      </c>
      <c r="C16" s="8">
        <v>262.95</v>
      </c>
      <c r="D16" s="8">
        <f t="shared" si="0"/>
        <v>131488.14881488148</v>
      </c>
      <c r="E16" s="9">
        <v>288.5</v>
      </c>
      <c r="F16" s="8">
        <v>2713.69</v>
      </c>
      <c r="G16" s="8">
        <v>7829.03</v>
      </c>
      <c r="H16" s="7">
        <v>976</v>
      </c>
      <c r="I16" s="10">
        <f t="shared" si="1"/>
        <v>2048.9754098360654</v>
      </c>
      <c r="J16" s="9">
        <f t="shared" si="2"/>
        <v>2.6941598360655741</v>
      </c>
      <c r="K16" t="str">
        <f t="shared" si="3"/>
        <v>150%+</v>
      </c>
      <c r="L16" t="s">
        <v>34</v>
      </c>
      <c r="M16" s="10">
        <f t="shared" si="4"/>
        <v>1.5875536278573854</v>
      </c>
      <c r="N16" s="7">
        <f t="shared" si="5"/>
        <v>18</v>
      </c>
    </row>
    <row r="17" spans="1:14" x14ac:dyDescent="0.3">
      <c r="A17" t="s">
        <v>43</v>
      </c>
      <c r="B17" s="7">
        <v>25820</v>
      </c>
      <c r="C17" s="8">
        <v>364.03</v>
      </c>
      <c r="D17" s="8">
        <f t="shared" si="0"/>
        <v>140987.60650658404</v>
      </c>
      <c r="E17" s="9">
        <v>195.09</v>
      </c>
      <c r="F17" s="8">
        <v>6997.76</v>
      </c>
      <c r="G17" s="8">
        <v>13652.17</v>
      </c>
      <c r="H17" s="7">
        <v>11167</v>
      </c>
      <c r="I17" s="10">
        <f t="shared" si="1"/>
        <v>231.21697859765379</v>
      </c>
      <c r="J17" s="9">
        <f t="shared" si="2"/>
        <v>0.32598728396167276</v>
      </c>
      <c r="K17" t="str">
        <f t="shared" si="3"/>
        <v>150%+</v>
      </c>
      <c r="L17" t="s">
        <v>34</v>
      </c>
      <c r="M17" s="10">
        <f t="shared" si="4"/>
        <v>2.1978214381020118</v>
      </c>
      <c r="N17" s="7">
        <f t="shared" si="5"/>
        <v>13</v>
      </c>
    </row>
    <row r="18" spans="1:14" x14ac:dyDescent="0.3">
      <c r="A18" t="s">
        <v>44</v>
      </c>
      <c r="B18" s="7">
        <v>24712</v>
      </c>
      <c r="C18" s="8">
        <v>271.74</v>
      </c>
      <c r="D18" s="8">
        <f t="shared" si="0"/>
        <v>109962.77112334089</v>
      </c>
      <c r="E18" s="9">
        <v>110.46</v>
      </c>
      <c r="F18" s="8">
        <v>8877.94</v>
      </c>
      <c r="G18" s="8">
        <v>9806.26</v>
      </c>
      <c r="H18" s="7">
        <v>1453</v>
      </c>
      <c r="I18" s="10">
        <f t="shared" si="1"/>
        <v>1700.7570543702684</v>
      </c>
      <c r="J18" s="9">
        <f t="shared" si="2"/>
        <v>1.8701995870612524</v>
      </c>
      <c r="K18" t="str">
        <f t="shared" si="3"/>
        <v>100–149.99%</v>
      </c>
      <c r="L18" t="s">
        <v>34</v>
      </c>
      <c r="M18" s="10">
        <f t="shared" si="4"/>
        <v>1.6406230189540443</v>
      </c>
      <c r="N18" s="7">
        <f t="shared" si="5"/>
        <v>17</v>
      </c>
    </row>
    <row r="19" spans="1:14" x14ac:dyDescent="0.3">
      <c r="A19" t="s">
        <v>45</v>
      </c>
      <c r="B19" s="7">
        <v>27456</v>
      </c>
      <c r="C19" s="8">
        <v>338.11</v>
      </c>
      <c r="D19" s="8">
        <f t="shared" si="0"/>
        <v>123146.1247086247</v>
      </c>
      <c r="E19" s="9">
        <v>246.92</v>
      </c>
      <c r="F19" s="8">
        <v>3133.35</v>
      </c>
      <c r="G19" s="8">
        <v>7736.84</v>
      </c>
      <c r="H19" s="7">
        <v>5396</v>
      </c>
      <c r="I19" s="10">
        <f t="shared" si="1"/>
        <v>508.82134914751668</v>
      </c>
      <c r="J19" s="9">
        <f t="shared" si="2"/>
        <v>0.62659377316530762</v>
      </c>
      <c r="K19" t="str">
        <f t="shared" si="3"/>
        <v>150%+</v>
      </c>
      <c r="L19" t="s">
        <v>34</v>
      </c>
      <c r="M19" s="10">
        <f t="shared" si="4"/>
        <v>2.0413301278374618</v>
      </c>
      <c r="N19" s="7">
        <f t="shared" si="5"/>
        <v>16</v>
      </c>
    </row>
    <row r="20" spans="1:14" x14ac:dyDescent="0.3">
      <c r="A20" t="s">
        <v>46</v>
      </c>
      <c r="B20" s="7">
        <v>32330</v>
      </c>
      <c r="C20" s="8">
        <v>907.01</v>
      </c>
      <c r="D20" s="8">
        <f t="shared" si="0"/>
        <v>280547.47912155895</v>
      </c>
      <c r="E20" s="9">
        <v>130.65</v>
      </c>
      <c r="F20" s="8">
        <v>143106.91</v>
      </c>
      <c r="G20" s="8">
        <v>186975.51</v>
      </c>
      <c r="H20" s="7">
        <v>22794</v>
      </c>
      <c r="I20" s="10">
        <f t="shared" si="1"/>
        <v>141.83557076423619</v>
      </c>
      <c r="J20" s="9">
        <f t="shared" si="2"/>
        <v>0.39791611827673945</v>
      </c>
      <c r="K20" t="str">
        <f t="shared" si="3"/>
        <v>100–149.99%</v>
      </c>
      <c r="L20" t="s">
        <v>34</v>
      </c>
      <c r="M20" s="10">
        <f t="shared" si="4"/>
        <v>5.476048739315182</v>
      </c>
      <c r="N20" s="7">
        <f t="shared" si="5"/>
        <v>4</v>
      </c>
    </row>
    <row r="21" spans="1:14" x14ac:dyDescent="0.3">
      <c r="A21" t="s">
        <v>47</v>
      </c>
      <c r="B21" s="7">
        <v>2954</v>
      </c>
      <c r="C21" s="8">
        <v>37.880000000000003</v>
      </c>
      <c r="D21" s="8">
        <f t="shared" si="0"/>
        <v>128232.90453622208</v>
      </c>
      <c r="E21" s="9">
        <v>169.36</v>
      </c>
      <c r="F21" s="8">
        <v>1331.79</v>
      </c>
      <c r="G21" s="8">
        <v>2255.5700000000002</v>
      </c>
      <c r="H21" s="7"/>
      <c r="I21" s="10" t="str">
        <f t="shared" si="1"/>
        <v/>
      </c>
      <c r="J21" s="9" t="str">
        <f t="shared" si="2"/>
        <v/>
      </c>
      <c r="K21" t="str">
        <f t="shared" si="3"/>
        <v>150%+</v>
      </c>
      <c r="L21" t="s">
        <v>48</v>
      </c>
      <c r="M21" s="10">
        <f t="shared" si="4"/>
        <v>0.22869949200698902</v>
      </c>
      <c r="N21" s="7">
        <f t="shared" si="5"/>
        <v>33</v>
      </c>
    </row>
    <row r="22" spans="1:14" x14ac:dyDescent="0.3">
      <c r="A22" t="s">
        <v>49</v>
      </c>
      <c r="B22" s="7">
        <v>12930</v>
      </c>
      <c r="C22" s="8">
        <v>238.19</v>
      </c>
      <c r="D22" s="8">
        <f t="shared" si="0"/>
        <v>184215.00386697601</v>
      </c>
      <c r="E22" s="9">
        <v>238.88</v>
      </c>
      <c r="F22" s="8">
        <v>3629.63</v>
      </c>
      <c r="G22" s="8">
        <v>8670.4</v>
      </c>
      <c r="H22" s="7">
        <v>1312</v>
      </c>
      <c r="I22" s="10">
        <f t="shared" si="1"/>
        <v>985.51829268292681</v>
      </c>
      <c r="J22" s="9">
        <f t="shared" si="2"/>
        <v>1.8154725609756097</v>
      </c>
      <c r="K22" t="str">
        <f t="shared" si="3"/>
        <v>150%+</v>
      </c>
      <c r="L22" t="s">
        <v>34</v>
      </c>
      <c r="M22" s="10">
        <f t="shared" si="4"/>
        <v>1.4380657867250453</v>
      </c>
      <c r="N22" s="7">
        <f t="shared" si="5"/>
        <v>20</v>
      </c>
    </row>
    <row r="23" spans="1:14" x14ac:dyDescent="0.3">
      <c r="A23" t="s">
        <v>50</v>
      </c>
      <c r="B23" s="7">
        <v>40769</v>
      </c>
      <c r="C23" s="8">
        <v>783.65</v>
      </c>
      <c r="D23" s="8">
        <f t="shared" si="0"/>
        <v>192217.1257573156</v>
      </c>
      <c r="E23" s="9">
        <v>233.34</v>
      </c>
      <c r="F23" s="8">
        <v>11785.49</v>
      </c>
      <c r="G23" s="8">
        <v>27500.73</v>
      </c>
      <c r="H23" s="7">
        <v>11093</v>
      </c>
      <c r="I23" s="10">
        <f t="shared" si="1"/>
        <v>367.52005769404133</v>
      </c>
      <c r="J23" s="9">
        <f t="shared" si="2"/>
        <v>0.70643649148111409</v>
      </c>
      <c r="K23" t="str">
        <f t="shared" si="3"/>
        <v>150%+</v>
      </c>
      <c r="L23" t="s">
        <v>34</v>
      </c>
      <c r="M23" s="10">
        <f t="shared" si="4"/>
        <v>4.7312660219450091</v>
      </c>
      <c r="N23" s="7">
        <f t="shared" si="5"/>
        <v>6</v>
      </c>
    </row>
    <row r="24" spans="1:14" x14ac:dyDescent="0.3">
      <c r="A24" t="s">
        <v>51</v>
      </c>
      <c r="B24" s="7">
        <v>7710</v>
      </c>
      <c r="C24" s="8">
        <v>133.9</v>
      </c>
      <c r="D24" s="8">
        <f t="shared" si="0"/>
        <v>173670.55771725031</v>
      </c>
      <c r="E24" s="9">
        <v>202.08</v>
      </c>
      <c r="F24" s="8">
        <v>2038.13</v>
      </c>
      <c r="G24" s="8">
        <v>4118.6899999999996</v>
      </c>
      <c r="H24" s="7"/>
      <c r="I24" s="10" t="str">
        <f t="shared" si="1"/>
        <v/>
      </c>
      <c r="J24" s="9" t="str">
        <f t="shared" si="2"/>
        <v/>
      </c>
      <c r="K24" t="str">
        <f t="shared" si="3"/>
        <v>150%+</v>
      </c>
      <c r="L24" t="s">
        <v>48</v>
      </c>
      <c r="M24" s="10">
        <f t="shared" si="4"/>
        <v>0.80841768689904514</v>
      </c>
      <c r="N24" s="7">
        <f t="shared" si="5"/>
        <v>28</v>
      </c>
    </row>
    <row r="25" spans="1:14" x14ac:dyDescent="0.3">
      <c r="A25" t="s">
        <v>52</v>
      </c>
      <c r="B25" s="7">
        <v>14947</v>
      </c>
      <c r="C25" s="8">
        <v>207.72</v>
      </c>
      <c r="D25" s="8">
        <f t="shared" si="0"/>
        <v>138971.03097611561</v>
      </c>
      <c r="E25" s="9">
        <v>230.47</v>
      </c>
      <c r="F25" s="8">
        <v>3807.48</v>
      </c>
      <c r="G25" s="8">
        <v>8774.93</v>
      </c>
      <c r="H25" s="7">
        <v>1259</v>
      </c>
      <c r="I25" s="10">
        <f t="shared" si="1"/>
        <v>1187.2120730738682</v>
      </c>
      <c r="J25" s="9">
        <f t="shared" si="2"/>
        <v>1.6498808578236694</v>
      </c>
      <c r="K25" t="str">
        <f t="shared" si="3"/>
        <v>150%+</v>
      </c>
      <c r="L25" t="s">
        <v>34</v>
      </c>
      <c r="M25" s="10">
        <f t="shared" si="4"/>
        <v>1.2541039725367413</v>
      </c>
      <c r="N25" s="7">
        <f t="shared" si="5"/>
        <v>24</v>
      </c>
    </row>
    <row r="26" spans="1:14" x14ac:dyDescent="0.3">
      <c r="A26" t="s">
        <v>53</v>
      </c>
      <c r="B26" s="7">
        <v>64655</v>
      </c>
      <c r="C26" s="8">
        <v>785.43</v>
      </c>
      <c r="D26" s="8">
        <f t="shared" si="0"/>
        <v>121480.16394710385</v>
      </c>
      <c r="E26" s="9">
        <v>193.47</v>
      </c>
      <c r="F26" s="8">
        <v>12696.85</v>
      </c>
      <c r="G26" s="8">
        <v>24564.98</v>
      </c>
      <c r="H26" s="7">
        <v>16112</v>
      </c>
      <c r="I26" s="10">
        <f t="shared" si="1"/>
        <v>401.28475670307847</v>
      </c>
      <c r="J26" s="9">
        <f t="shared" si="2"/>
        <v>0.48748138033763649</v>
      </c>
      <c r="K26" t="str">
        <f t="shared" si="3"/>
        <v>150%+</v>
      </c>
      <c r="L26" t="s">
        <v>34</v>
      </c>
      <c r="M26" s="10">
        <f t="shared" si="4"/>
        <v>4.7420127245789168</v>
      </c>
      <c r="N26" s="7">
        <f t="shared" si="5"/>
        <v>5</v>
      </c>
    </row>
    <row r="27" spans="1:14" x14ac:dyDescent="0.3">
      <c r="A27" t="s">
        <v>54</v>
      </c>
      <c r="B27" s="7">
        <v>16436</v>
      </c>
      <c r="C27" s="8">
        <v>203.36</v>
      </c>
      <c r="D27" s="8">
        <f t="shared" si="0"/>
        <v>123728.40107082017</v>
      </c>
      <c r="E27" s="9">
        <v>111.8</v>
      </c>
      <c r="F27" s="8">
        <v>8243.02</v>
      </c>
      <c r="G27" s="8">
        <v>9215.84</v>
      </c>
      <c r="H27" s="7">
        <v>2997</v>
      </c>
      <c r="I27" s="10">
        <f t="shared" si="1"/>
        <v>548.4150817484151</v>
      </c>
      <c r="J27" s="9">
        <f t="shared" si="2"/>
        <v>0.67854521187854522</v>
      </c>
      <c r="K27" t="str">
        <f t="shared" si="3"/>
        <v>100–149.99%</v>
      </c>
      <c r="L27" t="s">
        <v>34</v>
      </c>
      <c r="M27" s="10">
        <f t="shared" si="4"/>
        <v>1.2277805885570563</v>
      </c>
      <c r="N27" s="7">
        <f t="shared" si="5"/>
        <v>25</v>
      </c>
    </row>
    <row r="28" spans="1:14" x14ac:dyDescent="0.3">
      <c r="A28" t="s">
        <v>55</v>
      </c>
      <c r="B28" s="7">
        <v>6686</v>
      </c>
      <c r="C28" s="8">
        <v>102.82</v>
      </c>
      <c r="D28" s="8">
        <f t="shared" si="0"/>
        <v>153784.02632366135</v>
      </c>
      <c r="E28" s="9">
        <v>137.22999999999999</v>
      </c>
      <c r="F28" s="8">
        <v>4665.49</v>
      </c>
      <c r="G28" s="8">
        <v>6402.66</v>
      </c>
      <c r="H28" s="7">
        <v>3043</v>
      </c>
      <c r="I28" s="10">
        <f t="shared" si="1"/>
        <v>219.71738416036808</v>
      </c>
      <c r="J28" s="9">
        <f t="shared" si="2"/>
        <v>0.33789023989484057</v>
      </c>
      <c r="K28" t="str">
        <f t="shared" si="3"/>
        <v>100–149.99%</v>
      </c>
      <c r="L28" t="s">
        <v>34</v>
      </c>
      <c r="M28" s="10">
        <f t="shared" si="4"/>
        <v>0.62077301394294104</v>
      </c>
      <c r="N28" s="7">
        <f t="shared" si="5"/>
        <v>31</v>
      </c>
    </row>
    <row r="29" spans="1:14" x14ac:dyDescent="0.3">
      <c r="A29" t="s">
        <v>56</v>
      </c>
      <c r="B29" s="7">
        <v>55581</v>
      </c>
      <c r="C29" s="8">
        <v>1068.04</v>
      </c>
      <c r="D29" s="8">
        <f t="shared" si="0"/>
        <v>192159.19109048057</v>
      </c>
      <c r="E29" s="9">
        <v>115.08</v>
      </c>
      <c r="F29" s="8">
        <v>115156.52</v>
      </c>
      <c r="G29" s="8">
        <v>132525.18</v>
      </c>
      <c r="H29" s="7">
        <v>43459</v>
      </c>
      <c r="I29" s="10">
        <f t="shared" si="1"/>
        <v>127.89295657976483</v>
      </c>
      <c r="J29" s="9">
        <f t="shared" si="2"/>
        <v>0.24575807082537562</v>
      </c>
      <c r="K29" t="str">
        <f t="shared" si="3"/>
        <v>100–149.99%</v>
      </c>
      <c r="L29" t="s">
        <v>34</v>
      </c>
      <c r="M29" s="10">
        <f t="shared" si="4"/>
        <v>6.4482630792804789</v>
      </c>
      <c r="N29" s="7">
        <f t="shared" si="5"/>
        <v>2</v>
      </c>
    </row>
    <row r="30" spans="1:14" x14ac:dyDescent="0.3">
      <c r="A30" t="s">
        <v>57</v>
      </c>
      <c r="B30" s="7">
        <v>30956</v>
      </c>
      <c r="C30" s="8">
        <v>625.57000000000005</v>
      </c>
      <c r="D30" s="8">
        <f t="shared" si="0"/>
        <v>202083.60253262697</v>
      </c>
      <c r="E30" s="9">
        <v>200.05</v>
      </c>
      <c r="F30" s="8">
        <v>19466.52</v>
      </c>
      <c r="G30" s="8">
        <v>38943.360000000001</v>
      </c>
      <c r="H30" s="7">
        <v>3162</v>
      </c>
      <c r="I30" s="10">
        <f t="shared" si="1"/>
        <v>979.00063251106883</v>
      </c>
      <c r="J30" s="9">
        <f t="shared" si="2"/>
        <v>1.9783997469955725</v>
      </c>
      <c r="K30" t="str">
        <f t="shared" si="3"/>
        <v>150%+</v>
      </c>
      <c r="L30" t="s">
        <v>34</v>
      </c>
      <c r="M30" s="10">
        <f t="shared" si="4"/>
        <v>3.7768622284797293</v>
      </c>
      <c r="N30" s="7">
        <f t="shared" si="5"/>
        <v>8</v>
      </c>
    </row>
    <row r="31" spans="1:14" x14ac:dyDescent="0.3">
      <c r="A31" t="s">
        <v>58</v>
      </c>
      <c r="B31" s="7">
        <v>24512</v>
      </c>
      <c r="C31" s="8">
        <v>343.79</v>
      </c>
      <c r="D31" s="8">
        <f t="shared" si="0"/>
        <v>140253.75326370756</v>
      </c>
      <c r="E31" s="9">
        <v>200.48</v>
      </c>
      <c r="F31" s="8">
        <v>6421.38</v>
      </c>
      <c r="G31" s="8">
        <v>12873.7</v>
      </c>
      <c r="H31" s="7">
        <v>2305</v>
      </c>
      <c r="I31" s="10">
        <f t="shared" si="1"/>
        <v>1063.4273318872017</v>
      </c>
      <c r="J31" s="9">
        <f t="shared" si="2"/>
        <v>1.4914967462039046</v>
      </c>
      <c r="K31" t="str">
        <f t="shared" si="3"/>
        <v>150%+</v>
      </c>
      <c r="L31" t="s">
        <v>34</v>
      </c>
      <c r="M31" s="10">
        <f t="shared" si="4"/>
        <v>2.0756229766917307</v>
      </c>
      <c r="N31" s="7">
        <f t="shared" si="5"/>
        <v>15</v>
      </c>
    </row>
    <row r="32" spans="1:14" x14ac:dyDescent="0.3">
      <c r="A32" t="s">
        <v>59</v>
      </c>
      <c r="B32" s="7">
        <v>14260</v>
      </c>
      <c r="C32" s="8">
        <v>349.41</v>
      </c>
      <c r="D32" s="8">
        <f t="shared" si="0"/>
        <v>245028.05049088362</v>
      </c>
      <c r="E32" s="9">
        <v>289.33999999999997</v>
      </c>
      <c r="F32" s="8">
        <v>6078.06</v>
      </c>
      <c r="G32" s="8">
        <v>17586.240000000002</v>
      </c>
      <c r="H32" s="7">
        <v>3361</v>
      </c>
      <c r="I32" s="10">
        <f t="shared" si="1"/>
        <v>424.27848854507585</v>
      </c>
      <c r="J32" s="9">
        <f t="shared" si="2"/>
        <v>1.0396013091341862</v>
      </c>
      <c r="K32" t="str">
        <f t="shared" si="3"/>
        <v>150%+</v>
      </c>
      <c r="L32" t="s">
        <v>34</v>
      </c>
      <c r="M32" s="10">
        <f t="shared" si="4"/>
        <v>2.1095535771426093</v>
      </c>
      <c r="N32" s="7">
        <f t="shared" si="5"/>
        <v>14</v>
      </c>
    </row>
    <row r="33" spans="1:14" x14ac:dyDescent="0.3">
      <c r="A33" t="s">
        <v>60</v>
      </c>
      <c r="B33" s="7">
        <v>20070</v>
      </c>
      <c r="C33" s="8">
        <v>226.38</v>
      </c>
      <c r="D33" s="8">
        <f t="shared" si="0"/>
        <v>112795.21674140508</v>
      </c>
      <c r="E33" s="9">
        <v>202.87</v>
      </c>
      <c r="F33" s="8">
        <v>4008.58</v>
      </c>
      <c r="G33" s="8">
        <v>8132.18</v>
      </c>
      <c r="H33" s="7">
        <v>1008</v>
      </c>
      <c r="I33" s="10">
        <f t="shared" si="1"/>
        <v>1991.0714285714284</v>
      </c>
      <c r="J33" s="9">
        <f t="shared" si="2"/>
        <v>2.2458333333333331</v>
      </c>
      <c r="K33" t="str">
        <f t="shared" si="3"/>
        <v>150%+</v>
      </c>
      <c r="L33" t="s">
        <v>34</v>
      </c>
      <c r="M33" s="10">
        <f t="shared" si="4"/>
        <v>1.3667632259910816</v>
      </c>
      <c r="N33" s="7">
        <f t="shared" si="5"/>
        <v>22</v>
      </c>
    </row>
    <row r="34" spans="1:14" x14ac:dyDescent="0.3">
      <c r="A34" t="s">
        <v>61</v>
      </c>
      <c r="B34" s="7">
        <v>11751</v>
      </c>
      <c r="C34" s="8">
        <v>177.48</v>
      </c>
      <c r="D34" s="8">
        <f t="shared" si="0"/>
        <v>151033.95455705898</v>
      </c>
      <c r="E34" s="9">
        <v>227.18</v>
      </c>
      <c r="F34" s="8">
        <v>2489.1799999999998</v>
      </c>
      <c r="G34" s="8">
        <v>5654.88</v>
      </c>
      <c r="H34" s="7">
        <v>967</v>
      </c>
      <c r="I34" s="10">
        <f t="shared" si="1"/>
        <v>1215.2016546018615</v>
      </c>
      <c r="J34" s="9">
        <f t="shared" si="2"/>
        <v>1.8353671147880042</v>
      </c>
      <c r="K34" t="str">
        <f t="shared" si="3"/>
        <v>150%+</v>
      </c>
      <c r="L34" t="s">
        <v>34</v>
      </c>
      <c r="M34" s="10">
        <f t="shared" si="4"/>
        <v>1.0715307772280995</v>
      </c>
      <c r="N34" s="7">
        <f t="shared" si="5"/>
        <v>27</v>
      </c>
    </row>
    <row r="35" spans="1:14" x14ac:dyDescent="0.3">
      <c r="A35" t="s">
        <v>62</v>
      </c>
      <c r="B35" s="7">
        <v>35693</v>
      </c>
      <c r="C35" s="8">
        <v>470.47</v>
      </c>
      <c r="D35" s="8">
        <f t="shared" si="0"/>
        <v>131810.1588546774</v>
      </c>
      <c r="E35" s="9">
        <v>172.05</v>
      </c>
      <c r="F35" s="8">
        <v>8558</v>
      </c>
      <c r="G35" s="8">
        <v>14724.2</v>
      </c>
      <c r="H35" s="7">
        <v>12439</v>
      </c>
      <c r="I35" s="10">
        <f t="shared" si="1"/>
        <v>286.94428812605514</v>
      </c>
      <c r="J35" s="9">
        <f t="shared" si="2"/>
        <v>0.3782217220033765</v>
      </c>
      <c r="K35" t="str">
        <f t="shared" si="3"/>
        <v>150%+</v>
      </c>
      <c r="L35" t="s">
        <v>34</v>
      </c>
      <c r="M35" s="10">
        <f t="shared" si="4"/>
        <v>2.8404501057161595</v>
      </c>
      <c r="N35" s="7">
        <f t="shared" si="5"/>
        <v>9</v>
      </c>
    </row>
    <row r="36" spans="1:14" x14ac:dyDescent="0.3">
      <c r="A36" t="s">
        <v>63</v>
      </c>
      <c r="B36" s="7">
        <v>19473</v>
      </c>
      <c r="C36" s="8">
        <v>370.39</v>
      </c>
      <c r="D36" s="8">
        <f t="shared" si="0"/>
        <v>190206.95321727521</v>
      </c>
      <c r="E36" s="9">
        <v>135.28</v>
      </c>
      <c r="F36" s="8">
        <v>15905.47</v>
      </c>
      <c r="G36" s="8">
        <v>21516.39</v>
      </c>
      <c r="H36" s="7"/>
      <c r="I36" s="10" t="str">
        <f t="shared" si="1"/>
        <v/>
      </c>
      <c r="J36" s="9" t="str">
        <f t="shared" si="2"/>
        <v/>
      </c>
      <c r="K36" t="str">
        <f t="shared" si="3"/>
        <v>100–149.99%</v>
      </c>
      <c r="L36" t="s">
        <v>48</v>
      </c>
      <c r="M36" s="10">
        <f t="shared" si="4"/>
        <v>2.236219768861369</v>
      </c>
      <c r="N36" s="7">
        <f t="shared" si="5"/>
        <v>12</v>
      </c>
    </row>
    <row r="37" spans="1:14" x14ac:dyDescent="0.3">
      <c r="A37" t="s">
        <v>64</v>
      </c>
      <c r="B37" s="7">
        <v>14709</v>
      </c>
      <c r="C37" s="8">
        <v>252.23</v>
      </c>
      <c r="D37" s="8">
        <f t="shared" si="0"/>
        <v>171480.04623019919</v>
      </c>
      <c r="E37" s="9">
        <v>224.41</v>
      </c>
      <c r="F37" s="8">
        <v>4475.6899999999996</v>
      </c>
      <c r="G37" s="8">
        <v>10044.01</v>
      </c>
      <c r="H37" s="7">
        <v>1662</v>
      </c>
      <c r="I37" s="10">
        <f t="shared" si="1"/>
        <v>885.01805054151623</v>
      </c>
      <c r="J37" s="9">
        <f t="shared" si="2"/>
        <v>1.5176293622141999</v>
      </c>
      <c r="K37" t="str">
        <f t="shared" si="3"/>
        <v>150%+</v>
      </c>
      <c r="L37" t="s">
        <v>34</v>
      </c>
      <c r="M37" s="10">
        <f t="shared" si="4"/>
        <v>1.5228319131183432</v>
      </c>
      <c r="N37" s="7">
        <f t="shared" si="5"/>
        <v>19</v>
      </c>
    </row>
    <row r="38" spans="1:14" x14ac:dyDescent="0.3">
      <c r="A38" s="11" t="s">
        <v>65</v>
      </c>
      <c r="B38" s="11">
        <f>SUM(B5:B37)</f>
        <v>1005976</v>
      </c>
      <c r="C38" s="11">
        <f>SUM(C5:C37)</f>
        <v>16563.219999999998</v>
      </c>
      <c r="D38" s="11">
        <f>C38*10000000/B38</f>
        <v>164648.26198636941</v>
      </c>
      <c r="E38" s="11">
        <v>130.7851</v>
      </c>
      <c r="F38" s="11">
        <v>943424.95</v>
      </c>
      <c r="G38" s="11">
        <v>1233857.8799999999</v>
      </c>
      <c r="H38" s="11">
        <v>246085</v>
      </c>
      <c r="I38" s="11" t="s">
        <v>66</v>
      </c>
      <c r="J38" s="11" t="s">
        <v>66</v>
      </c>
      <c r="K38" s="11" t="s">
        <v>67</v>
      </c>
      <c r="L38" s="11" t="s">
        <v>68</v>
      </c>
      <c r="M38" s="11">
        <v>100</v>
      </c>
      <c r="N38" s="11" t="s">
        <v>66</v>
      </c>
    </row>
  </sheetData>
  <autoFilter ref="A4:N37" xr:uid="{00000000-0009-0000-0000-000001000000}"/>
  <mergeCells count="2">
    <mergeCell ref="A2:N2"/>
    <mergeCell ref="A1:N1"/>
  </mergeCells>
  <conditionalFormatting sqref="E5:E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4" bottom="0.4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topLeftCell="B1" zoomScale="90" workbookViewId="0">
      <pane ySplit="4" topLeftCell="A5" activePane="bottomLeft" state="frozen"/>
      <selection pane="bottomLeft" sqref="A1:L1"/>
    </sheetView>
  </sheetViews>
  <sheetFormatPr defaultRowHeight="14.4" x14ac:dyDescent="0.3"/>
  <cols>
    <col min="1" max="1" width="24.21875" bestFit="1" customWidth="1"/>
    <col min="2" max="2" width="20.21875" bestFit="1" customWidth="1"/>
    <col min="3" max="3" width="15.21875" bestFit="1" customWidth="1"/>
    <col min="4" max="4" width="21.109375" bestFit="1" customWidth="1"/>
    <col min="5" max="5" width="16" bestFit="1" customWidth="1"/>
    <col min="6" max="6" width="19.44140625" bestFit="1" customWidth="1"/>
    <col min="7" max="7" width="14.44140625" bestFit="1" customWidth="1"/>
    <col min="8" max="8" width="23.5546875" bestFit="1" customWidth="1"/>
    <col min="9" max="9" width="18.5546875" bestFit="1" customWidth="1"/>
    <col min="10" max="10" width="18.77734375" bestFit="1" customWidth="1"/>
    <col min="11" max="11" width="21.88671875" bestFit="1" customWidth="1"/>
    <col min="12" max="12" width="28.6640625" bestFit="1" customWidth="1"/>
  </cols>
  <sheetData>
    <row r="1" spans="1:12" ht="30" customHeight="1" x14ac:dyDescent="0.3">
      <c r="A1" s="26" t="s">
        <v>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3">
      <c r="A2" s="24" t="s">
        <v>70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ht="28.8" x14ac:dyDescent="0.3">
      <c r="A4" s="6" t="s">
        <v>19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76</v>
      </c>
      <c r="H4" s="6" t="s">
        <v>77</v>
      </c>
      <c r="I4" s="6" t="s">
        <v>78</v>
      </c>
      <c r="J4" s="6" t="s">
        <v>79</v>
      </c>
      <c r="K4" s="6" t="s">
        <v>80</v>
      </c>
      <c r="L4" s="6" t="s">
        <v>81</v>
      </c>
    </row>
    <row r="5" spans="1:12" x14ac:dyDescent="0.3">
      <c r="A5" t="s">
        <v>33</v>
      </c>
      <c r="B5" s="7">
        <v>28199</v>
      </c>
      <c r="C5" s="8">
        <v>116.63</v>
      </c>
      <c r="D5" s="7">
        <v>16499</v>
      </c>
      <c r="E5" s="8">
        <v>182.88</v>
      </c>
      <c r="F5" s="7">
        <v>1046</v>
      </c>
      <c r="G5" s="8">
        <v>83.09</v>
      </c>
      <c r="H5" s="7">
        <v>141</v>
      </c>
      <c r="I5" s="8">
        <v>21.67</v>
      </c>
      <c r="J5" s="7">
        <v>45885</v>
      </c>
      <c r="K5" s="8">
        <v>404.27</v>
      </c>
      <c r="L5" s="12">
        <f t="shared" ref="L5:L38" si="0">IFERROR(K5*10000000/J5,0)</f>
        <v>88105.045221750028</v>
      </c>
    </row>
    <row r="6" spans="1:12" x14ac:dyDescent="0.3">
      <c r="A6" t="s">
        <v>35</v>
      </c>
      <c r="B6" s="7">
        <v>20692</v>
      </c>
      <c r="C6" s="8">
        <v>91.33</v>
      </c>
      <c r="D6" s="7">
        <v>16876</v>
      </c>
      <c r="E6" s="8">
        <v>174.12</v>
      </c>
      <c r="F6" s="7">
        <v>1422</v>
      </c>
      <c r="G6" s="8">
        <v>119.56</v>
      </c>
      <c r="H6" s="7">
        <v>246</v>
      </c>
      <c r="I6" s="8">
        <v>32.08</v>
      </c>
      <c r="J6" s="7">
        <v>39236</v>
      </c>
      <c r="K6" s="8">
        <v>417.1</v>
      </c>
      <c r="L6" s="12">
        <f t="shared" si="0"/>
        <v>106305.43378529922</v>
      </c>
    </row>
    <row r="7" spans="1:12" x14ac:dyDescent="0.3">
      <c r="A7" t="s">
        <v>3</v>
      </c>
      <c r="B7" s="7">
        <v>47704</v>
      </c>
      <c r="C7" s="8">
        <v>210.06</v>
      </c>
      <c r="D7" s="7">
        <v>104265</v>
      </c>
      <c r="E7" s="8">
        <v>1883.62</v>
      </c>
      <c r="F7" s="7">
        <v>25719</v>
      </c>
      <c r="G7" s="8">
        <v>2234.4</v>
      </c>
      <c r="H7" s="7">
        <v>1651</v>
      </c>
      <c r="I7" s="8">
        <v>267.94</v>
      </c>
      <c r="J7" s="7">
        <v>179339</v>
      </c>
      <c r="K7" s="8">
        <v>4596.03</v>
      </c>
      <c r="L7" s="12">
        <f t="shared" si="0"/>
        <v>256276.10279972566</v>
      </c>
    </row>
    <row r="8" spans="1:12" x14ac:dyDescent="0.3">
      <c r="A8" t="s">
        <v>36</v>
      </c>
      <c r="B8" s="7">
        <v>8871</v>
      </c>
      <c r="C8" s="8">
        <v>35.880000000000003</v>
      </c>
      <c r="D8" s="7">
        <v>6432</v>
      </c>
      <c r="E8" s="8">
        <v>86.66</v>
      </c>
      <c r="F8" s="7">
        <v>1100</v>
      </c>
      <c r="G8" s="8">
        <v>91.79</v>
      </c>
      <c r="H8" s="7">
        <v>119</v>
      </c>
      <c r="I8" s="8">
        <v>18.25</v>
      </c>
      <c r="J8" s="7">
        <v>16522</v>
      </c>
      <c r="K8" s="8">
        <v>232.58</v>
      </c>
      <c r="L8" s="12">
        <f t="shared" si="0"/>
        <v>140769.88258080135</v>
      </c>
    </row>
    <row r="9" spans="1:12" x14ac:dyDescent="0.3">
      <c r="A9" t="s">
        <v>8</v>
      </c>
      <c r="B9" s="7">
        <v>5671</v>
      </c>
      <c r="C9" s="8">
        <v>23.27</v>
      </c>
      <c r="D9" s="7">
        <v>4300</v>
      </c>
      <c r="E9" s="8">
        <v>59.84</v>
      </c>
      <c r="F9" s="7">
        <v>538</v>
      </c>
      <c r="G9" s="8">
        <v>42.57</v>
      </c>
      <c r="H9" s="7">
        <v>32</v>
      </c>
      <c r="I9" s="8">
        <v>4.87</v>
      </c>
      <c r="J9" s="7">
        <v>10541</v>
      </c>
      <c r="K9" s="8">
        <v>130.55000000000001</v>
      </c>
      <c r="L9" s="12">
        <f t="shared" si="0"/>
        <v>123849.72962717009</v>
      </c>
    </row>
    <row r="10" spans="1:12" x14ac:dyDescent="0.3">
      <c r="A10" t="s">
        <v>37</v>
      </c>
      <c r="B10" s="7">
        <v>5969</v>
      </c>
      <c r="C10" s="8">
        <v>24.63</v>
      </c>
      <c r="D10" s="7">
        <v>3932</v>
      </c>
      <c r="E10" s="8">
        <v>38.58</v>
      </c>
      <c r="F10" s="7">
        <v>474</v>
      </c>
      <c r="G10" s="8">
        <v>42.89</v>
      </c>
      <c r="H10" s="7">
        <v>24</v>
      </c>
      <c r="I10" s="8">
        <v>3.3</v>
      </c>
      <c r="J10" s="7">
        <v>10399</v>
      </c>
      <c r="K10" s="8">
        <v>109.4</v>
      </c>
      <c r="L10" s="12">
        <f t="shared" si="0"/>
        <v>105202.42330993364</v>
      </c>
    </row>
    <row r="11" spans="1:12" x14ac:dyDescent="0.3">
      <c r="A11" t="s">
        <v>38</v>
      </c>
      <c r="B11" s="7">
        <v>6662</v>
      </c>
      <c r="C11" s="8">
        <v>27.37</v>
      </c>
      <c r="D11" s="7">
        <v>4678</v>
      </c>
      <c r="E11" s="8">
        <v>73.56</v>
      </c>
      <c r="F11" s="7">
        <v>1076</v>
      </c>
      <c r="G11" s="8">
        <v>90.41</v>
      </c>
      <c r="H11" s="7">
        <v>68</v>
      </c>
      <c r="I11" s="8">
        <v>10.65</v>
      </c>
      <c r="J11" s="7">
        <v>12484</v>
      </c>
      <c r="K11" s="8">
        <v>201.99</v>
      </c>
      <c r="L11" s="12">
        <f t="shared" si="0"/>
        <v>161799.10285165012</v>
      </c>
    </row>
    <row r="12" spans="1:12" x14ac:dyDescent="0.3">
      <c r="A12" t="s">
        <v>39</v>
      </c>
      <c r="B12" s="7">
        <v>7818</v>
      </c>
      <c r="C12" s="8">
        <v>34.450000000000003</v>
      </c>
      <c r="D12" s="7">
        <v>7577</v>
      </c>
      <c r="E12" s="8">
        <v>102.84</v>
      </c>
      <c r="F12" s="7">
        <v>850</v>
      </c>
      <c r="G12" s="8">
        <v>69.27</v>
      </c>
      <c r="H12" s="7">
        <v>108</v>
      </c>
      <c r="I12" s="8">
        <v>14.97</v>
      </c>
      <c r="J12" s="7">
        <v>16353</v>
      </c>
      <c r="K12" s="8">
        <v>221.53</v>
      </c>
      <c r="L12" s="12">
        <f t="shared" si="0"/>
        <v>135467.49831835137</v>
      </c>
    </row>
    <row r="13" spans="1:12" x14ac:dyDescent="0.3">
      <c r="A13" t="s">
        <v>40</v>
      </c>
      <c r="B13" s="7">
        <v>28553</v>
      </c>
      <c r="C13" s="8">
        <v>119.96</v>
      </c>
      <c r="D13" s="7">
        <v>35702</v>
      </c>
      <c r="E13" s="8">
        <v>393.99</v>
      </c>
      <c r="F13" s="7">
        <v>2002</v>
      </c>
      <c r="G13" s="8">
        <v>158.16999999999999</v>
      </c>
      <c r="H13" s="7">
        <v>312</v>
      </c>
      <c r="I13" s="8">
        <v>54.12</v>
      </c>
      <c r="J13" s="7">
        <v>66569</v>
      </c>
      <c r="K13" s="8">
        <v>726.25</v>
      </c>
      <c r="L13" s="12">
        <f t="shared" si="0"/>
        <v>109097.32758491189</v>
      </c>
    </row>
    <row r="14" spans="1:12" x14ac:dyDescent="0.3">
      <c r="A14" t="s">
        <v>41</v>
      </c>
      <c r="B14" s="7">
        <v>27345</v>
      </c>
      <c r="C14" s="8">
        <v>116.54</v>
      </c>
      <c r="D14" s="7">
        <v>46764</v>
      </c>
      <c r="E14" s="8">
        <v>502.6</v>
      </c>
      <c r="F14" s="7">
        <v>2662</v>
      </c>
      <c r="G14" s="8">
        <v>218.82</v>
      </c>
      <c r="H14" s="7">
        <v>518</v>
      </c>
      <c r="I14" s="8">
        <v>85.43</v>
      </c>
      <c r="J14" s="7">
        <v>77289</v>
      </c>
      <c r="K14" s="8">
        <v>923.4</v>
      </c>
      <c r="L14" s="12">
        <f t="shared" si="0"/>
        <v>119473.66378139192</v>
      </c>
    </row>
    <row r="15" spans="1:12" x14ac:dyDescent="0.3">
      <c r="A15" t="s">
        <v>11</v>
      </c>
      <c r="B15" s="7">
        <v>4443</v>
      </c>
      <c r="C15" s="8">
        <v>18.21</v>
      </c>
      <c r="D15" s="7">
        <v>2176</v>
      </c>
      <c r="E15" s="8">
        <v>27.35</v>
      </c>
      <c r="F15" s="7">
        <v>253</v>
      </c>
      <c r="G15" s="8">
        <v>21.39</v>
      </c>
      <c r="H15" s="7">
        <v>79</v>
      </c>
      <c r="I15" s="8">
        <v>12.62</v>
      </c>
      <c r="J15" s="7">
        <v>6951</v>
      </c>
      <c r="K15" s="8">
        <v>79.569999999999993</v>
      </c>
      <c r="L15" s="12">
        <f t="shared" si="0"/>
        <v>114472.7377355776</v>
      </c>
    </row>
    <row r="16" spans="1:12" x14ac:dyDescent="0.3">
      <c r="A16" t="s">
        <v>42</v>
      </c>
      <c r="B16" s="7">
        <v>8004</v>
      </c>
      <c r="C16" s="8">
        <v>33.22</v>
      </c>
      <c r="D16" s="7">
        <v>10944</v>
      </c>
      <c r="E16" s="8">
        <v>127.89</v>
      </c>
      <c r="F16" s="7">
        <v>914</v>
      </c>
      <c r="G16" s="8">
        <v>78.819999999999993</v>
      </c>
      <c r="H16" s="7">
        <v>136</v>
      </c>
      <c r="I16" s="8">
        <v>23.02</v>
      </c>
      <c r="J16" s="7">
        <v>19998</v>
      </c>
      <c r="K16" s="8">
        <v>262.95</v>
      </c>
      <c r="L16" s="12">
        <f t="shared" si="0"/>
        <v>131488.14881488148</v>
      </c>
    </row>
    <row r="17" spans="1:12" x14ac:dyDescent="0.3">
      <c r="A17" t="s">
        <v>43</v>
      </c>
      <c r="B17" s="7">
        <v>14897</v>
      </c>
      <c r="C17" s="8">
        <v>65.61</v>
      </c>
      <c r="D17" s="7">
        <v>9111</v>
      </c>
      <c r="E17" s="8">
        <v>142.9</v>
      </c>
      <c r="F17" s="7">
        <v>1667</v>
      </c>
      <c r="G17" s="8">
        <v>134.31</v>
      </c>
      <c r="H17" s="7">
        <v>145</v>
      </c>
      <c r="I17" s="8">
        <v>21.22</v>
      </c>
      <c r="J17" s="7">
        <v>25820</v>
      </c>
      <c r="K17" s="8">
        <v>364.03</v>
      </c>
      <c r="L17" s="12">
        <f t="shared" si="0"/>
        <v>140987.60650658404</v>
      </c>
    </row>
    <row r="18" spans="1:12" x14ac:dyDescent="0.3">
      <c r="A18" t="s">
        <v>44</v>
      </c>
      <c r="B18" s="7">
        <v>15934</v>
      </c>
      <c r="C18" s="8">
        <v>64.83</v>
      </c>
      <c r="D18" s="7">
        <v>7659</v>
      </c>
      <c r="E18" s="8">
        <v>87.71</v>
      </c>
      <c r="F18" s="7">
        <v>785</v>
      </c>
      <c r="G18" s="8">
        <v>64.77</v>
      </c>
      <c r="H18" s="7">
        <v>334</v>
      </c>
      <c r="I18" s="8">
        <v>54.44</v>
      </c>
      <c r="J18" s="7">
        <v>24712</v>
      </c>
      <c r="K18" s="8">
        <v>271.74</v>
      </c>
      <c r="L18" s="12">
        <f t="shared" si="0"/>
        <v>109962.77112334089</v>
      </c>
    </row>
    <row r="19" spans="1:12" x14ac:dyDescent="0.3">
      <c r="A19" t="s">
        <v>45</v>
      </c>
      <c r="B19" s="7">
        <v>12478</v>
      </c>
      <c r="C19" s="8">
        <v>56.37</v>
      </c>
      <c r="D19" s="7">
        <v>13698</v>
      </c>
      <c r="E19" s="8">
        <v>165.33</v>
      </c>
      <c r="F19" s="7">
        <v>1109</v>
      </c>
      <c r="G19" s="8">
        <v>89.75</v>
      </c>
      <c r="H19" s="7">
        <v>171</v>
      </c>
      <c r="I19" s="8">
        <v>26.67</v>
      </c>
      <c r="J19" s="7">
        <v>27456</v>
      </c>
      <c r="K19" s="8">
        <v>338.11</v>
      </c>
      <c r="L19" s="12">
        <f t="shared" si="0"/>
        <v>123146.1247086247</v>
      </c>
    </row>
    <row r="20" spans="1:12" x14ac:dyDescent="0.3">
      <c r="A20" t="s">
        <v>46</v>
      </c>
      <c r="B20" s="7">
        <v>10273</v>
      </c>
      <c r="C20" s="8">
        <v>42.27</v>
      </c>
      <c r="D20" s="7">
        <v>16070</v>
      </c>
      <c r="E20" s="8">
        <v>305.43</v>
      </c>
      <c r="F20" s="7">
        <v>5213</v>
      </c>
      <c r="G20" s="8">
        <v>437.83</v>
      </c>
      <c r="H20" s="7">
        <v>774</v>
      </c>
      <c r="I20" s="8">
        <v>121.48</v>
      </c>
      <c r="J20" s="7">
        <v>32330</v>
      </c>
      <c r="K20" s="8">
        <v>907.01</v>
      </c>
      <c r="L20" s="12">
        <f t="shared" si="0"/>
        <v>280547.47912155895</v>
      </c>
    </row>
    <row r="21" spans="1:12" x14ac:dyDescent="0.3">
      <c r="A21" t="s">
        <v>47</v>
      </c>
      <c r="B21" s="7">
        <v>2061</v>
      </c>
      <c r="C21" s="8">
        <v>9.35</v>
      </c>
      <c r="D21" s="7">
        <v>701</v>
      </c>
      <c r="E21" s="8">
        <v>10.55</v>
      </c>
      <c r="F21" s="7">
        <v>176</v>
      </c>
      <c r="G21" s="8">
        <v>15.65</v>
      </c>
      <c r="H21" s="7">
        <v>16</v>
      </c>
      <c r="I21" s="8">
        <v>2.3199999999999998</v>
      </c>
      <c r="J21" s="7">
        <v>2954</v>
      </c>
      <c r="K21" s="8">
        <v>37.880000000000003</v>
      </c>
      <c r="L21" s="12">
        <f t="shared" si="0"/>
        <v>128232.90453622208</v>
      </c>
    </row>
    <row r="22" spans="1:12" x14ac:dyDescent="0.3">
      <c r="A22" t="s">
        <v>49</v>
      </c>
      <c r="B22" s="7">
        <v>5860</v>
      </c>
      <c r="C22" s="8">
        <v>21.57</v>
      </c>
      <c r="D22" s="7">
        <v>5645</v>
      </c>
      <c r="E22" s="8">
        <v>80.739999999999995</v>
      </c>
      <c r="F22" s="7">
        <v>1274</v>
      </c>
      <c r="G22" s="8">
        <v>112.3</v>
      </c>
      <c r="H22" s="7">
        <v>151</v>
      </c>
      <c r="I22" s="8">
        <v>23.57</v>
      </c>
      <c r="J22" s="7">
        <v>12930</v>
      </c>
      <c r="K22" s="8">
        <v>238.19</v>
      </c>
      <c r="L22" s="12">
        <f t="shared" si="0"/>
        <v>184215.00386697601</v>
      </c>
    </row>
    <row r="23" spans="1:12" x14ac:dyDescent="0.3">
      <c r="A23" t="s">
        <v>50</v>
      </c>
      <c r="B23" s="7">
        <v>16142</v>
      </c>
      <c r="C23" s="8">
        <v>70.98</v>
      </c>
      <c r="D23" s="7">
        <v>20297</v>
      </c>
      <c r="E23" s="8">
        <v>298.47000000000003</v>
      </c>
      <c r="F23" s="7">
        <v>3622</v>
      </c>
      <c r="G23" s="8">
        <v>299.37</v>
      </c>
      <c r="H23" s="7">
        <v>708</v>
      </c>
      <c r="I23" s="8">
        <v>114.84</v>
      </c>
      <c r="J23" s="7">
        <v>40769</v>
      </c>
      <c r="K23" s="8">
        <v>783.65</v>
      </c>
      <c r="L23" s="12">
        <f t="shared" si="0"/>
        <v>192217.1257573156</v>
      </c>
    </row>
    <row r="24" spans="1:12" x14ac:dyDescent="0.3">
      <c r="A24" t="s">
        <v>51</v>
      </c>
      <c r="B24" s="7">
        <v>3476</v>
      </c>
      <c r="C24" s="8">
        <v>14.37</v>
      </c>
      <c r="D24" s="7">
        <v>3472</v>
      </c>
      <c r="E24" s="8">
        <v>47.09</v>
      </c>
      <c r="F24" s="7">
        <v>665</v>
      </c>
      <c r="G24" s="8">
        <v>57.03</v>
      </c>
      <c r="H24" s="7">
        <v>97</v>
      </c>
      <c r="I24" s="8">
        <v>15.4</v>
      </c>
      <c r="J24" s="7">
        <v>7710</v>
      </c>
      <c r="K24" s="8">
        <v>133.9</v>
      </c>
      <c r="L24" s="12">
        <f t="shared" si="0"/>
        <v>173670.55771725031</v>
      </c>
    </row>
    <row r="25" spans="1:12" x14ac:dyDescent="0.3">
      <c r="A25" t="s">
        <v>52</v>
      </c>
      <c r="B25" s="7">
        <v>8660</v>
      </c>
      <c r="C25" s="8">
        <v>37.880000000000003</v>
      </c>
      <c r="D25" s="7">
        <v>5454</v>
      </c>
      <c r="E25" s="8">
        <v>88.58</v>
      </c>
      <c r="F25" s="7">
        <v>689</v>
      </c>
      <c r="G25" s="8">
        <v>58.8</v>
      </c>
      <c r="H25" s="7">
        <v>144</v>
      </c>
      <c r="I25" s="8">
        <v>22.47</v>
      </c>
      <c r="J25" s="7">
        <v>14947</v>
      </c>
      <c r="K25" s="8">
        <v>207.72</v>
      </c>
      <c r="L25" s="12">
        <f t="shared" si="0"/>
        <v>138971.03097611561</v>
      </c>
    </row>
    <row r="26" spans="1:12" x14ac:dyDescent="0.3">
      <c r="A26" t="s">
        <v>53</v>
      </c>
      <c r="B26" s="7">
        <v>29609</v>
      </c>
      <c r="C26" s="8">
        <v>127.9</v>
      </c>
      <c r="D26" s="7">
        <v>31959</v>
      </c>
      <c r="E26" s="8">
        <v>383.5</v>
      </c>
      <c r="F26" s="7">
        <v>2780</v>
      </c>
      <c r="G26" s="8">
        <v>228.84</v>
      </c>
      <c r="H26" s="7">
        <v>307</v>
      </c>
      <c r="I26" s="8">
        <v>45.19</v>
      </c>
      <c r="J26" s="7">
        <v>64655</v>
      </c>
      <c r="K26" s="8">
        <v>785.43</v>
      </c>
      <c r="L26" s="12">
        <f t="shared" si="0"/>
        <v>121480.16394710385</v>
      </c>
    </row>
    <row r="27" spans="1:12" x14ac:dyDescent="0.3">
      <c r="A27" t="s">
        <v>54</v>
      </c>
      <c r="B27" s="7">
        <v>8283</v>
      </c>
      <c r="C27" s="8">
        <v>30.17</v>
      </c>
      <c r="D27" s="7">
        <v>7288</v>
      </c>
      <c r="E27" s="8">
        <v>90.33</v>
      </c>
      <c r="F27" s="7">
        <v>702</v>
      </c>
      <c r="G27" s="8">
        <v>57.08</v>
      </c>
      <c r="H27" s="7">
        <v>163</v>
      </c>
      <c r="I27" s="8">
        <v>25.78</v>
      </c>
      <c r="J27" s="7">
        <v>16436</v>
      </c>
      <c r="K27" s="8">
        <v>203.36</v>
      </c>
      <c r="L27" s="12">
        <f t="shared" si="0"/>
        <v>123728.40107082017</v>
      </c>
    </row>
    <row r="28" spans="1:12" x14ac:dyDescent="0.3">
      <c r="A28" t="s">
        <v>55</v>
      </c>
      <c r="B28" s="7">
        <v>3553</v>
      </c>
      <c r="C28" s="8">
        <v>14.11</v>
      </c>
      <c r="D28" s="7">
        <v>2592</v>
      </c>
      <c r="E28" s="8">
        <v>38.49</v>
      </c>
      <c r="F28" s="7">
        <v>494</v>
      </c>
      <c r="G28" s="8">
        <v>43.56</v>
      </c>
      <c r="H28" s="7">
        <v>47</v>
      </c>
      <c r="I28" s="8">
        <v>6.65</v>
      </c>
      <c r="J28" s="7">
        <v>6686</v>
      </c>
      <c r="K28" s="8">
        <v>102.82</v>
      </c>
      <c r="L28" s="12">
        <f t="shared" si="0"/>
        <v>153784.02632366135</v>
      </c>
    </row>
    <row r="29" spans="1:12" x14ac:dyDescent="0.3">
      <c r="A29" t="s">
        <v>56</v>
      </c>
      <c r="B29" s="7">
        <v>22521</v>
      </c>
      <c r="C29" s="8">
        <v>95.6</v>
      </c>
      <c r="D29" s="7">
        <v>27051</v>
      </c>
      <c r="E29" s="8">
        <v>439.7</v>
      </c>
      <c r="F29" s="7">
        <v>5350</v>
      </c>
      <c r="G29" s="8">
        <v>438.62</v>
      </c>
      <c r="H29" s="7">
        <v>659</v>
      </c>
      <c r="I29" s="8">
        <v>94.12</v>
      </c>
      <c r="J29" s="7">
        <v>55581</v>
      </c>
      <c r="K29" s="8">
        <v>1068.04</v>
      </c>
      <c r="L29" s="12">
        <f t="shared" si="0"/>
        <v>192159.19109048057</v>
      </c>
    </row>
    <row r="30" spans="1:12" x14ac:dyDescent="0.3">
      <c r="A30" t="s">
        <v>57</v>
      </c>
      <c r="B30" s="7">
        <v>14170</v>
      </c>
      <c r="C30" s="8">
        <v>64.23</v>
      </c>
      <c r="D30" s="7">
        <v>13048</v>
      </c>
      <c r="E30" s="8">
        <v>186.57</v>
      </c>
      <c r="F30" s="7">
        <v>3031</v>
      </c>
      <c r="G30" s="8">
        <v>258.74</v>
      </c>
      <c r="H30" s="7">
        <v>707</v>
      </c>
      <c r="I30" s="8">
        <v>116.04</v>
      </c>
      <c r="J30" s="7">
        <v>30956</v>
      </c>
      <c r="K30" s="8">
        <v>625.57000000000005</v>
      </c>
      <c r="L30" s="12">
        <f t="shared" si="0"/>
        <v>202083.60253262697</v>
      </c>
    </row>
    <row r="31" spans="1:12" x14ac:dyDescent="0.3">
      <c r="A31" t="s">
        <v>58</v>
      </c>
      <c r="B31" s="7">
        <v>11397</v>
      </c>
      <c r="C31" s="8">
        <v>49.39</v>
      </c>
      <c r="D31" s="7">
        <v>11417</v>
      </c>
      <c r="E31" s="8">
        <v>131.47</v>
      </c>
      <c r="F31" s="7">
        <v>1466</v>
      </c>
      <c r="G31" s="8">
        <v>127.71</v>
      </c>
      <c r="H31" s="7">
        <v>232</v>
      </c>
      <c r="I31" s="8">
        <v>35.229999999999997</v>
      </c>
      <c r="J31" s="7">
        <v>24512</v>
      </c>
      <c r="K31" s="8">
        <v>343.79</v>
      </c>
      <c r="L31" s="12">
        <f t="shared" si="0"/>
        <v>140253.75326370756</v>
      </c>
    </row>
    <row r="32" spans="1:12" x14ac:dyDescent="0.3">
      <c r="A32" t="s">
        <v>59</v>
      </c>
      <c r="B32" s="7">
        <v>5406</v>
      </c>
      <c r="C32" s="8">
        <v>23.97</v>
      </c>
      <c r="D32" s="7">
        <v>6687</v>
      </c>
      <c r="E32" s="8">
        <v>117.39</v>
      </c>
      <c r="F32" s="7">
        <v>1790</v>
      </c>
      <c r="G32" s="8">
        <v>148.58000000000001</v>
      </c>
      <c r="H32" s="7">
        <v>377</v>
      </c>
      <c r="I32" s="8">
        <v>59.47</v>
      </c>
      <c r="J32" s="7">
        <v>14260</v>
      </c>
      <c r="K32" s="8">
        <v>349.41</v>
      </c>
      <c r="L32" s="12">
        <f t="shared" si="0"/>
        <v>245028.05049088362</v>
      </c>
    </row>
    <row r="33" spans="1:12" x14ac:dyDescent="0.3">
      <c r="A33" t="s">
        <v>60</v>
      </c>
      <c r="B33" s="7">
        <v>10970</v>
      </c>
      <c r="C33" s="8">
        <v>45.02</v>
      </c>
      <c r="D33" s="7">
        <v>8195</v>
      </c>
      <c r="E33" s="8">
        <v>99.69</v>
      </c>
      <c r="F33" s="7">
        <v>838</v>
      </c>
      <c r="G33" s="8">
        <v>72.12</v>
      </c>
      <c r="H33" s="7">
        <v>67</v>
      </c>
      <c r="I33" s="8">
        <v>9.5500000000000007</v>
      </c>
      <c r="J33" s="7">
        <v>20070</v>
      </c>
      <c r="K33" s="8">
        <v>226.38</v>
      </c>
      <c r="L33" s="12">
        <f t="shared" si="0"/>
        <v>112795.21674140508</v>
      </c>
    </row>
    <row r="34" spans="1:12" x14ac:dyDescent="0.3">
      <c r="A34" t="s">
        <v>61</v>
      </c>
      <c r="B34" s="7">
        <v>6024</v>
      </c>
      <c r="C34" s="8">
        <v>25.65</v>
      </c>
      <c r="D34" s="7">
        <v>4786</v>
      </c>
      <c r="E34" s="8">
        <v>61.94</v>
      </c>
      <c r="F34" s="7">
        <v>858</v>
      </c>
      <c r="G34" s="8">
        <v>76.92</v>
      </c>
      <c r="H34" s="7">
        <v>83</v>
      </c>
      <c r="I34" s="8">
        <v>12.96</v>
      </c>
      <c r="J34" s="7">
        <v>11751</v>
      </c>
      <c r="K34" s="8">
        <v>177.48</v>
      </c>
      <c r="L34" s="12">
        <f t="shared" si="0"/>
        <v>151033.95455705898</v>
      </c>
    </row>
    <row r="35" spans="1:12" x14ac:dyDescent="0.3">
      <c r="A35" t="s">
        <v>62</v>
      </c>
      <c r="B35" s="7">
        <v>15673</v>
      </c>
      <c r="C35" s="8">
        <v>70.97</v>
      </c>
      <c r="D35" s="7">
        <v>17863</v>
      </c>
      <c r="E35" s="8">
        <v>209.82</v>
      </c>
      <c r="F35" s="7">
        <v>1961</v>
      </c>
      <c r="G35" s="8">
        <v>158.28</v>
      </c>
      <c r="H35" s="7">
        <v>196</v>
      </c>
      <c r="I35" s="8">
        <v>31.39</v>
      </c>
      <c r="J35" s="7">
        <v>35693</v>
      </c>
      <c r="K35" s="8">
        <v>470.47</v>
      </c>
      <c r="L35" s="12">
        <f t="shared" si="0"/>
        <v>131810.1588546774</v>
      </c>
    </row>
    <row r="36" spans="1:12" x14ac:dyDescent="0.3">
      <c r="A36" t="s">
        <v>63</v>
      </c>
      <c r="B36" s="7">
        <v>9204</v>
      </c>
      <c r="C36" s="8">
        <v>36.700000000000003</v>
      </c>
      <c r="D36" s="7">
        <v>8017</v>
      </c>
      <c r="E36" s="8">
        <v>125.21</v>
      </c>
      <c r="F36" s="7">
        <v>2037</v>
      </c>
      <c r="G36" s="8">
        <v>175.06</v>
      </c>
      <c r="H36" s="7">
        <v>215</v>
      </c>
      <c r="I36" s="8">
        <v>33.43</v>
      </c>
      <c r="J36" s="7">
        <v>19473</v>
      </c>
      <c r="K36" s="8">
        <v>370.39</v>
      </c>
      <c r="L36" s="12">
        <f t="shared" si="0"/>
        <v>190206.95321727521</v>
      </c>
    </row>
    <row r="37" spans="1:12" x14ac:dyDescent="0.3">
      <c r="A37" t="s">
        <v>64</v>
      </c>
      <c r="B37" s="7">
        <v>9034</v>
      </c>
      <c r="C37" s="8">
        <v>42.95</v>
      </c>
      <c r="D37" s="7">
        <v>4313</v>
      </c>
      <c r="E37" s="8">
        <v>72.58</v>
      </c>
      <c r="F37" s="7">
        <v>1099</v>
      </c>
      <c r="G37" s="8">
        <v>95.95</v>
      </c>
      <c r="H37" s="7">
        <v>263</v>
      </c>
      <c r="I37" s="8">
        <v>40.75</v>
      </c>
      <c r="J37" s="7">
        <v>14709</v>
      </c>
      <c r="K37" s="8">
        <v>252.23</v>
      </c>
      <c r="L37" s="12">
        <f t="shared" si="0"/>
        <v>171480.04623019919</v>
      </c>
    </row>
    <row r="38" spans="1:12" x14ac:dyDescent="0.3">
      <c r="A38" s="11" t="s">
        <v>82</v>
      </c>
      <c r="B38" s="11">
        <f t="shared" ref="B38:K38" si="1">SUM(B5:B37)</f>
        <v>435556</v>
      </c>
      <c r="C38" s="11">
        <f t="shared" si="1"/>
        <v>1861.4400000000003</v>
      </c>
      <c r="D38" s="11">
        <f t="shared" si="1"/>
        <v>485468</v>
      </c>
      <c r="E38" s="11">
        <f t="shared" si="1"/>
        <v>6837.4199999999992</v>
      </c>
      <c r="F38" s="11">
        <f t="shared" si="1"/>
        <v>75662</v>
      </c>
      <c r="G38" s="11">
        <f t="shared" si="1"/>
        <v>6402.45</v>
      </c>
      <c r="H38" s="11">
        <f t="shared" si="1"/>
        <v>9290</v>
      </c>
      <c r="I38" s="11">
        <f t="shared" si="1"/>
        <v>1461.8900000000003</v>
      </c>
      <c r="J38" s="11">
        <f t="shared" si="1"/>
        <v>1005976</v>
      </c>
      <c r="K38" s="11">
        <f t="shared" si="1"/>
        <v>16563.219999999998</v>
      </c>
      <c r="L38" s="11">
        <f t="shared" si="0"/>
        <v>164648.26198636941</v>
      </c>
    </row>
  </sheetData>
  <autoFilter ref="A4:L38" xr:uid="{00000000-0009-0000-0000-000002000000}"/>
  <mergeCells count="2">
    <mergeCell ref="A2:L2"/>
    <mergeCell ref="A1:L1"/>
  </mergeCells>
  <pageMargins left="0.25" right="0.25" top="0.4" bottom="0.4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zoomScale="90" workbookViewId="0">
      <pane ySplit="4" topLeftCell="A15" activePane="bottomLeft" state="frozen"/>
      <selection pane="bottomLeft" sqref="A1:F1"/>
    </sheetView>
  </sheetViews>
  <sheetFormatPr defaultRowHeight="14.4" x14ac:dyDescent="0.3"/>
  <cols>
    <col min="1" max="1" width="24.21875" bestFit="1" customWidth="1"/>
    <col min="2" max="2" width="12" customWidth="1"/>
    <col min="3" max="3" width="22.109375" bestFit="1" customWidth="1"/>
    <col min="4" max="4" width="22.6640625" bestFit="1" customWidth="1"/>
    <col min="5" max="5" width="15.5546875" bestFit="1" customWidth="1"/>
    <col min="6" max="6" width="17.6640625" bestFit="1" customWidth="1"/>
  </cols>
  <sheetData>
    <row r="1" spans="1:6" ht="30" customHeight="1" x14ac:dyDescent="0.3">
      <c r="A1" s="26" t="s">
        <v>83</v>
      </c>
      <c r="B1" s="25"/>
      <c r="C1" s="25"/>
      <c r="D1" s="25"/>
      <c r="E1" s="25"/>
      <c r="F1" s="25"/>
    </row>
    <row r="2" spans="1:6" x14ac:dyDescent="0.3">
      <c r="A2" s="24" t="s">
        <v>84</v>
      </c>
      <c r="B2" s="25"/>
      <c r="C2" s="25"/>
      <c r="D2" s="25"/>
      <c r="E2" s="25"/>
      <c r="F2" s="25"/>
    </row>
    <row r="4" spans="1:6" x14ac:dyDescent="0.3">
      <c r="A4" s="6" t="s">
        <v>19</v>
      </c>
      <c r="B4" s="6" t="s">
        <v>85</v>
      </c>
      <c r="C4" s="6" t="s">
        <v>86</v>
      </c>
      <c r="D4" s="6" t="s">
        <v>87</v>
      </c>
      <c r="E4" s="6" t="s">
        <v>23</v>
      </c>
      <c r="F4" s="6" t="s">
        <v>88</v>
      </c>
    </row>
    <row r="5" spans="1:6" x14ac:dyDescent="0.3">
      <c r="A5" t="s">
        <v>33</v>
      </c>
      <c r="B5">
        <v>109</v>
      </c>
      <c r="C5" s="8">
        <v>4998.4799999999996</v>
      </c>
      <c r="D5" s="8">
        <v>8187.28</v>
      </c>
      <c r="E5" s="9">
        <v>163.80000000000001</v>
      </c>
      <c r="F5" t="str">
        <f t="shared" ref="F5:F37" si="0">IF(ABS((D5/C5*100)-E5)&lt;0.1,"OK","CHECK")</f>
        <v>OK</v>
      </c>
    </row>
    <row r="6" spans="1:6" x14ac:dyDescent="0.3">
      <c r="A6" t="s">
        <v>35</v>
      </c>
      <c r="B6">
        <v>188</v>
      </c>
      <c r="C6" s="8">
        <v>8835.09</v>
      </c>
      <c r="D6" s="8">
        <v>12269.3</v>
      </c>
      <c r="E6" s="9">
        <v>138.87</v>
      </c>
      <c r="F6" t="str">
        <f t="shared" si="0"/>
        <v>OK</v>
      </c>
    </row>
    <row r="7" spans="1:6" x14ac:dyDescent="0.3">
      <c r="A7" t="s">
        <v>63</v>
      </c>
      <c r="B7">
        <v>175</v>
      </c>
      <c r="C7" s="8">
        <v>15905.47</v>
      </c>
      <c r="D7" s="8">
        <v>21516.39</v>
      </c>
      <c r="E7" s="9">
        <v>135.28</v>
      </c>
      <c r="F7" t="str">
        <f t="shared" si="0"/>
        <v>OK</v>
      </c>
    </row>
    <row r="8" spans="1:6" x14ac:dyDescent="0.3">
      <c r="A8" t="s">
        <v>3</v>
      </c>
      <c r="B8">
        <v>1190</v>
      </c>
      <c r="C8" s="8">
        <v>484570.76</v>
      </c>
      <c r="D8" s="8">
        <v>548463.19999999995</v>
      </c>
      <c r="E8" s="9">
        <v>113.19</v>
      </c>
      <c r="F8" t="str">
        <f t="shared" si="0"/>
        <v>OK</v>
      </c>
    </row>
    <row r="9" spans="1:6" x14ac:dyDescent="0.3">
      <c r="A9" t="s">
        <v>36</v>
      </c>
      <c r="B9">
        <v>135</v>
      </c>
      <c r="C9" s="8">
        <v>7080.96</v>
      </c>
      <c r="D9" s="8">
        <v>10493.27</v>
      </c>
      <c r="E9" s="9">
        <v>148.19</v>
      </c>
      <c r="F9" t="str">
        <f t="shared" si="0"/>
        <v>OK</v>
      </c>
    </row>
    <row r="10" spans="1:6" x14ac:dyDescent="0.3">
      <c r="A10" t="s">
        <v>8</v>
      </c>
      <c r="B10">
        <v>67</v>
      </c>
      <c r="C10" s="8">
        <v>2321.61</v>
      </c>
      <c r="D10" s="8">
        <v>6816.95</v>
      </c>
      <c r="E10" s="9">
        <v>293.63</v>
      </c>
      <c r="F10" t="str">
        <f t="shared" si="0"/>
        <v>OK</v>
      </c>
    </row>
    <row r="11" spans="1:6" x14ac:dyDescent="0.3">
      <c r="A11" t="s">
        <v>37</v>
      </c>
      <c r="B11">
        <v>53</v>
      </c>
      <c r="C11" s="8">
        <v>2165.37</v>
      </c>
      <c r="D11" s="8">
        <v>3294.34</v>
      </c>
      <c r="E11" s="9">
        <v>152.13999999999999</v>
      </c>
      <c r="F11" t="str">
        <f t="shared" si="0"/>
        <v>OK</v>
      </c>
    </row>
    <row r="12" spans="1:6" x14ac:dyDescent="0.3">
      <c r="A12" t="s">
        <v>38</v>
      </c>
      <c r="B12">
        <v>63</v>
      </c>
      <c r="C12" s="8">
        <v>2458.12</v>
      </c>
      <c r="D12" s="8">
        <v>5622.77</v>
      </c>
      <c r="E12" s="9">
        <v>228.74</v>
      </c>
      <c r="F12" t="str">
        <f t="shared" si="0"/>
        <v>OK</v>
      </c>
    </row>
    <row r="13" spans="1:6" x14ac:dyDescent="0.3">
      <c r="A13" t="s">
        <v>39</v>
      </c>
      <c r="B13">
        <v>140</v>
      </c>
      <c r="C13" s="8">
        <v>4635.78</v>
      </c>
      <c r="D13" s="8">
        <v>9786.9500000000007</v>
      </c>
      <c r="E13" s="9">
        <v>211.12</v>
      </c>
      <c r="F13" t="str">
        <f t="shared" si="0"/>
        <v>OK</v>
      </c>
    </row>
    <row r="14" spans="1:6" x14ac:dyDescent="0.3">
      <c r="A14" t="s">
        <v>40</v>
      </c>
      <c r="B14">
        <v>224</v>
      </c>
      <c r="C14" s="8">
        <v>15062.25</v>
      </c>
      <c r="D14" s="8">
        <v>20000.689999999999</v>
      </c>
      <c r="E14" s="9">
        <v>132.79</v>
      </c>
      <c r="F14" t="str">
        <f t="shared" si="0"/>
        <v>OK</v>
      </c>
    </row>
    <row r="15" spans="1:6" x14ac:dyDescent="0.3">
      <c r="A15" t="s">
        <v>41</v>
      </c>
      <c r="B15">
        <v>263</v>
      </c>
      <c r="C15" s="8">
        <v>13115.03</v>
      </c>
      <c r="D15" s="8">
        <v>26908.61</v>
      </c>
      <c r="E15" s="9">
        <v>205.17</v>
      </c>
      <c r="F15" t="str">
        <f t="shared" si="0"/>
        <v>OK</v>
      </c>
    </row>
    <row r="16" spans="1:6" x14ac:dyDescent="0.3">
      <c r="A16" t="s">
        <v>11</v>
      </c>
      <c r="B16">
        <v>58</v>
      </c>
      <c r="C16" s="8">
        <v>2594.58</v>
      </c>
      <c r="D16" s="8">
        <v>2510.7800000000002</v>
      </c>
      <c r="E16" s="9">
        <v>96.77</v>
      </c>
      <c r="F16" t="str">
        <f t="shared" si="0"/>
        <v>OK</v>
      </c>
    </row>
    <row r="17" spans="1:6" x14ac:dyDescent="0.3">
      <c r="A17" t="s">
        <v>42</v>
      </c>
      <c r="B17">
        <v>76</v>
      </c>
      <c r="C17" s="8">
        <v>2713.69</v>
      </c>
      <c r="D17" s="8">
        <v>7829.03</v>
      </c>
      <c r="E17" s="9">
        <v>288.5</v>
      </c>
      <c r="F17" t="str">
        <f t="shared" si="0"/>
        <v>OK</v>
      </c>
    </row>
    <row r="18" spans="1:6" x14ac:dyDescent="0.3">
      <c r="A18" t="s">
        <v>89</v>
      </c>
      <c r="B18">
        <v>140</v>
      </c>
      <c r="C18" s="8">
        <v>6997.76</v>
      </c>
      <c r="D18" s="8">
        <v>13652.17</v>
      </c>
      <c r="E18" s="9">
        <v>195.09</v>
      </c>
      <c r="F18" t="str">
        <f t="shared" si="0"/>
        <v>OK</v>
      </c>
    </row>
    <row r="19" spans="1:6" x14ac:dyDescent="0.3">
      <c r="A19" t="s">
        <v>44</v>
      </c>
      <c r="B19">
        <v>132</v>
      </c>
      <c r="C19" s="8">
        <v>8877.94</v>
      </c>
      <c r="D19" s="8">
        <v>9806.26</v>
      </c>
      <c r="E19" s="9">
        <v>110.46</v>
      </c>
      <c r="F19" t="str">
        <f t="shared" si="0"/>
        <v>OK</v>
      </c>
    </row>
    <row r="20" spans="1:6" x14ac:dyDescent="0.3">
      <c r="A20" t="s">
        <v>45</v>
      </c>
      <c r="B20">
        <v>113</v>
      </c>
      <c r="C20" s="8">
        <v>3133.35</v>
      </c>
      <c r="D20" s="8">
        <v>7736.84</v>
      </c>
      <c r="E20" s="9">
        <v>246.92</v>
      </c>
      <c r="F20" t="str">
        <f t="shared" si="0"/>
        <v>OK</v>
      </c>
    </row>
    <row r="21" spans="1:6" x14ac:dyDescent="0.3">
      <c r="A21" t="s">
        <v>46</v>
      </c>
      <c r="B21">
        <v>714</v>
      </c>
      <c r="C21" s="8">
        <v>143106.91</v>
      </c>
      <c r="D21" s="8">
        <v>186975.51</v>
      </c>
      <c r="E21" s="9">
        <v>130.65</v>
      </c>
      <c r="F21" t="str">
        <f t="shared" si="0"/>
        <v>OK</v>
      </c>
    </row>
    <row r="22" spans="1:6" x14ac:dyDescent="0.3">
      <c r="A22" t="s">
        <v>47</v>
      </c>
      <c r="B22">
        <v>39</v>
      </c>
      <c r="C22" s="8">
        <v>1331.79</v>
      </c>
      <c r="D22" s="8">
        <v>2255.5700000000002</v>
      </c>
      <c r="E22" s="9">
        <v>169.36</v>
      </c>
      <c r="F22" t="str">
        <f t="shared" si="0"/>
        <v>OK</v>
      </c>
    </row>
    <row r="23" spans="1:6" x14ac:dyDescent="0.3">
      <c r="A23" t="s">
        <v>49</v>
      </c>
      <c r="B23">
        <v>96</v>
      </c>
      <c r="C23" s="8">
        <v>3629.63</v>
      </c>
      <c r="D23" s="8">
        <v>8670.4</v>
      </c>
      <c r="E23" s="9">
        <v>238.88</v>
      </c>
      <c r="F23" t="str">
        <f t="shared" si="0"/>
        <v>OK</v>
      </c>
    </row>
    <row r="24" spans="1:6" x14ac:dyDescent="0.3">
      <c r="A24" t="s">
        <v>50</v>
      </c>
      <c r="B24">
        <v>244</v>
      </c>
      <c r="C24" s="8">
        <v>11785.49</v>
      </c>
      <c r="D24" s="8">
        <v>27500.73</v>
      </c>
      <c r="E24" s="9">
        <v>233.34</v>
      </c>
      <c r="F24" t="str">
        <f t="shared" si="0"/>
        <v>OK</v>
      </c>
    </row>
    <row r="25" spans="1:6" x14ac:dyDescent="0.3">
      <c r="A25" t="s">
        <v>51</v>
      </c>
      <c r="B25">
        <v>57</v>
      </c>
      <c r="C25" s="8">
        <v>2038.13</v>
      </c>
      <c r="D25" s="8">
        <v>4118.6899999999996</v>
      </c>
      <c r="E25" s="9">
        <v>202.08</v>
      </c>
      <c r="F25" t="str">
        <f t="shared" si="0"/>
        <v>OK</v>
      </c>
    </row>
    <row r="26" spans="1:6" x14ac:dyDescent="0.3">
      <c r="A26" t="s">
        <v>52</v>
      </c>
      <c r="B26">
        <v>100</v>
      </c>
      <c r="C26" s="8">
        <v>3807.48</v>
      </c>
      <c r="D26" s="8">
        <v>8774.93</v>
      </c>
      <c r="E26" s="9">
        <v>230.47</v>
      </c>
      <c r="F26" t="str">
        <f t="shared" si="0"/>
        <v>OK</v>
      </c>
    </row>
    <row r="27" spans="1:6" x14ac:dyDescent="0.3">
      <c r="A27" t="s">
        <v>53</v>
      </c>
      <c r="B27">
        <v>295</v>
      </c>
      <c r="C27" s="8">
        <v>12696.85</v>
      </c>
      <c r="D27" s="8">
        <v>24564.98</v>
      </c>
      <c r="E27" s="9">
        <v>193.47</v>
      </c>
      <c r="F27" t="str">
        <f t="shared" si="0"/>
        <v>OK</v>
      </c>
    </row>
    <row r="28" spans="1:6" x14ac:dyDescent="0.3">
      <c r="A28" t="s">
        <v>54</v>
      </c>
      <c r="B28">
        <v>123</v>
      </c>
      <c r="C28" s="8">
        <v>8243.02</v>
      </c>
      <c r="D28" s="8">
        <v>9215.84</v>
      </c>
      <c r="E28" s="9">
        <v>111.8</v>
      </c>
      <c r="F28" t="str">
        <f t="shared" si="0"/>
        <v>OK</v>
      </c>
    </row>
    <row r="29" spans="1:6" x14ac:dyDescent="0.3">
      <c r="A29" t="s">
        <v>55</v>
      </c>
      <c r="B29">
        <v>79</v>
      </c>
      <c r="C29" s="8">
        <v>4665.49</v>
      </c>
      <c r="D29" s="8">
        <v>6402.66</v>
      </c>
      <c r="E29" s="9">
        <v>137.22999999999999</v>
      </c>
      <c r="F29" t="str">
        <f t="shared" si="0"/>
        <v>OK</v>
      </c>
    </row>
    <row r="30" spans="1:6" x14ac:dyDescent="0.3">
      <c r="A30" t="s">
        <v>56</v>
      </c>
      <c r="B30">
        <v>882</v>
      </c>
      <c r="C30" s="8">
        <v>115156.52</v>
      </c>
      <c r="D30" s="8">
        <v>132525.18</v>
      </c>
      <c r="E30" s="9">
        <v>115.08</v>
      </c>
      <c r="F30" t="str">
        <f t="shared" si="0"/>
        <v>OK</v>
      </c>
    </row>
    <row r="31" spans="1:6" x14ac:dyDescent="0.3">
      <c r="A31" t="s">
        <v>57</v>
      </c>
      <c r="B31">
        <v>269</v>
      </c>
      <c r="C31" s="8">
        <v>19466.52</v>
      </c>
      <c r="D31" s="8">
        <v>38943.360000000001</v>
      </c>
      <c r="E31" s="9">
        <v>200.05</v>
      </c>
      <c r="F31" t="str">
        <f t="shared" si="0"/>
        <v>OK</v>
      </c>
    </row>
    <row r="32" spans="1:6" x14ac:dyDescent="0.3">
      <c r="A32" t="s">
        <v>58</v>
      </c>
      <c r="B32">
        <v>163</v>
      </c>
      <c r="C32" s="8">
        <v>6421.38</v>
      </c>
      <c r="D32" s="8">
        <v>12873.7</v>
      </c>
      <c r="E32" s="9">
        <v>200.48</v>
      </c>
      <c r="F32" t="str">
        <f t="shared" si="0"/>
        <v>OK</v>
      </c>
    </row>
    <row r="33" spans="1:6" x14ac:dyDescent="0.3">
      <c r="A33" t="s">
        <v>59</v>
      </c>
      <c r="B33">
        <v>173</v>
      </c>
      <c r="C33" s="8">
        <v>6078.06</v>
      </c>
      <c r="D33" s="8">
        <v>17586.240000000002</v>
      </c>
      <c r="E33" s="9">
        <v>289.33999999999997</v>
      </c>
      <c r="F33" t="str">
        <f t="shared" si="0"/>
        <v>OK</v>
      </c>
    </row>
    <row r="34" spans="1:6" x14ac:dyDescent="0.3">
      <c r="A34" t="s">
        <v>60</v>
      </c>
      <c r="B34">
        <v>116</v>
      </c>
      <c r="C34" s="8">
        <v>4008.58</v>
      </c>
      <c r="D34" s="8">
        <v>8132.18</v>
      </c>
      <c r="E34" s="9">
        <v>202.87</v>
      </c>
      <c r="F34" t="str">
        <f t="shared" si="0"/>
        <v>OK</v>
      </c>
    </row>
    <row r="35" spans="1:6" x14ac:dyDescent="0.3">
      <c r="A35" t="s">
        <v>61</v>
      </c>
      <c r="B35">
        <v>65</v>
      </c>
      <c r="C35" s="8">
        <v>2489.1799999999998</v>
      </c>
      <c r="D35" s="8">
        <v>5654.88</v>
      </c>
      <c r="E35" s="9">
        <v>227.18</v>
      </c>
      <c r="F35" t="str">
        <f t="shared" si="0"/>
        <v>OK</v>
      </c>
    </row>
    <row r="36" spans="1:6" x14ac:dyDescent="0.3">
      <c r="A36" t="s">
        <v>62</v>
      </c>
      <c r="B36">
        <v>140</v>
      </c>
      <c r="C36" s="8">
        <v>8558</v>
      </c>
      <c r="D36" s="8">
        <v>14724.2</v>
      </c>
      <c r="E36" s="9">
        <v>172.05</v>
      </c>
      <c r="F36" t="str">
        <f t="shared" si="0"/>
        <v>OK</v>
      </c>
    </row>
    <row r="37" spans="1:6" x14ac:dyDescent="0.3">
      <c r="A37" t="s">
        <v>64</v>
      </c>
      <c r="B37">
        <v>120</v>
      </c>
      <c r="C37" s="8">
        <v>4475.6899999999996</v>
      </c>
      <c r="D37" s="8">
        <v>10044.01</v>
      </c>
      <c r="E37" s="9">
        <v>224.41</v>
      </c>
      <c r="F37" t="str">
        <f t="shared" si="0"/>
        <v>OK</v>
      </c>
    </row>
    <row r="38" spans="1:6" x14ac:dyDescent="0.3">
      <c r="A38" s="11" t="s">
        <v>82</v>
      </c>
      <c r="B38" s="11">
        <v>6801</v>
      </c>
      <c r="C38" s="11">
        <v>943424.95</v>
      </c>
      <c r="D38" s="11">
        <v>1233857.8799999999</v>
      </c>
      <c r="E38" s="11">
        <v>130.7851</v>
      </c>
      <c r="F38" s="11" t="s">
        <v>90</v>
      </c>
    </row>
  </sheetData>
  <autoFilter ref="A4:F38" xr:uid="{00000000-0009-0000-0000-000003000000}"/>
  <mergeCells count="2">
    <mergeCell ref="A2:F2"/>
    <mergeCell ref="A1:F1"/>
  </mergeCells>
  <pageMargins left="0.25" right="0.25" top="0.4" bottom="0.4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="90" workbookViewId="0">
      <pane ySplit="4" topLeftCell="A5" activePane="bottomLeft" state="frozen"/>
      <selection pane="bottomLeft" activeCell="H15" sqref="H15"/>
    </sheetView>
  </sheetViews>
  <sheetFormatPr defaultRowHeight="14.4" x14ac:dyDescent="0.3"/>
  <cols>
    <col min="1" max="1" width="27" bestFit="1" customWidth="1"/>
    <col min="2" max="2" width="20" customWidth="1"/>
    <col min="3" max="3" width="11.109375" bestFit="1" customWidth="1"/>
    <col min="4" max="4" width="10.77734375" bestFit="1" customWidth="1"/>
    <col min="5" max="5" width="13.44140625" bestFit="1" customWidth="1"/>
    <col min="6" max="6" width="16" customWidth="1"/>
  </cols>
  <sheetData>
    <row r="1" spans="1:6" ht="30" customHeight="1" x14ac:dyDescent="0.3">
      <c r="A1" s="26" t="s">
        <v>91</v>
      </c>
      <c r="B1" s="25"/>
      <c r="C1" s="25"/>
      <c r="D1" s="25"/>
      <c r="E1" s="25"/>
      <c r="F1" s="25"/>
    </row>
    <row r="2" spans="1:6" x14ac:dyDescent="0.3">
      <c r="A2" s="24" t="s">
        <v>92</v>
      </c>
      <c r="B2" s="25"/>
      <c r="C2" s="25"/>
      <c r="D2" s="25"/>
      <c r="E2" s="25"/>
      <c r="F2" s="25"/>
    </row>
    <row r="4" spans="1:6" ht="28.8" x14ac:dyDescent="0.3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</row>
    <row r="5" spans="1:6" x14ac:dyDescent="0.3">
      <c r="A5" t="s">
        <v>99</v>
      </c>
      <c r="B5" s="7">
        <v>3691</v>
      </c>
      <c r="C5" s="7">
        <v>2431</v>
      </c>
      <c r="D5" s="7">
        <v>1245</v>
      </c>
      <c r="E5" s="7">
        <v>15</v>
      </c>
      <c r="F5" t="str">
        <f t="shared" ref="F5:F36" si="0">IF(B5=SUM(C5:E5),"OK","CHECK")</f>
        <v>OK</v>
      </c>
    </row>
    <row r="6" spans="1:6" x14ac:dyDescent="0.3">
      <c r="A6" t="s">
        <v>100</v>
      </c>
      <c r="B6" s="7">
        <v>1444</v>
      </c>
      <c r="C6" s="7">
        <v>963</v>
      </c>
      <c r="D6" s="7">
        <v>474</v>
      </c>
      <c r="E6" s="7">
        <v>7</v>
      </c>
      <c r="F6" t="str">
        <f t="shared" si="0"/>
        <v>OK</v>
      </c>
    </row>
    <row r="7" spans="1:6" x14ac:dyDescent="0.3">
      <c r="A7" t="s">
        <v>101</v>
      </c>
      <c r="B7" s="7">
        <v>47419</v>
      </c>
      <c r="C7" s="7">
        <v>33414</v>
      </c>
      <c r="D7" s="7">
        <v>13424</v>
      </c>
      <c r="E7" s="7">
        <v>581</v>
      </c>
      <c r="F7" t="str">
        <f t="shared" si="0"/>
        <v>OK</v>
      </c>
    </row>
    <row r="8" spans="1:6" x14ac:dyDescent="0.3">
      <c r="A8" t="s">
        <v>36</v>
      </c>
      <c r="B8" s="7">
        <v>2432</v>
      </c>
      <c r="C8" s="7">
        <v>2029</v>
      </c>
      <c r="D8" s="7">
        <v>400</v>
      </c>
      <c r="E8" s="7">
        <v>3</v>
      </c>
      <c r="F8" t="str">
        <f t="shared" si="0"/>
        <v>OK</v>
      </c>
    </row>
    <row r="9" spans="1:6" x14ac:dyDescent="0.3">
      <c r="A9" t="s">
        <v>102</v>
      </c>
      <c r="B9" s="7">
        <v>639</v>
      </c>
      <c r="C9" s="7">
        <v>452</v>
      </c>
      <c r="D9" s="7">
        <v>184</v>
      </c>
      <c r="E9" s="7">
        <v>3</v>
      </c>
      <c r="F9" t="str">
        <f t="shared" si="0"/>
        <v>OK</v>
      </c>
    </row>
    <row r="10" spans="1:6" x14ac:dyDescent="0.3">
      <c r="A10" t="s">
        <v>103</v>
      </c>
      <c r="B10" s="7">
        <v>1081</v>
      </c>
      <c r="C10" s="7">
        <v>789</v>
      </c>
      <c r="D10" s="7">
        <v>290</v>
      </c>
      <c r="E10" s="7">
        <v>2</v>
      </c>
      <c r="F10" t="str">
        <f t="shared" si="0"/>
        <v>OK</v>
      </c>
    </row>
    <row r="11" spans="1:6" x14ac:dyDescent="0.3">
      <c r="A11" t="s">
        <v>104</v>
      </c>
      <c r="B11" s="7">
        <v>1107</v>
      </c>
      <c r="C11" s="7">
        <v>977</v>
      </c>
      <c r="D11" s="7">
        <v>127</v>
      </c>
      <c r="E11" s="7">
        <v>3</v>
      </c>
      <c r="F11" t="str">
        <f t="shared" si="0"/>
        <v>OK</v>
      </c>
    </row>
    <row r="12" spans="1:6" x14ac:dyDescent="0.3">
      <c r="A12" t="s">
        <v>105</v>
      </c>
      <c r="B12" s="7">
        <v>2572</v>
      </c>
      <c r="C12" s="7">
        <v>2250</v>
      </c>
      <c r="D12" s="7">
        <v>317</v>
      </c>
      <c r="E12" s="7">
        <v>5</v>
      </c>
      <c r="F12" t="str">
        <f t="shared" si="0"/>
        <v>OK</v>
      </c>
    </row>
    <row r="13" spans="1:6" x14ac:dyDescent="0.3">
      <c r="A13" t="s">
        <v>106</v>
      </c>
      <c r="B13" s="7">
        <v>18906</v>
      </c>
      <c r="C13" s="7">
        <v>15303</v>
      </c>
      <c r="D13" s="7">
        <v>3555</v>
      </c>
      <c r="E13" s="7">
        <v>48</v>
      </c>
      <c r="F13" t="str">
        <f t="shared" si="0"/>
        <v>OK</v>
      </c>
    </row>
    <row r="14" spans="1:6" x14ac:dyDescent="0.3">
      <c r="A14" t="s">
        <v>107</v>
      </c>
      <c r="B14" s="7">
        <v>6244</v>
      </c>
      <c r="C14" s="7">
        <v>4194</v>
      </c>
      <c r="D14" s="7">
        <v>2010</v>
      </c>
      <c r="E14" s="7">
        <v>40</v>
      </c>
      <c r="F14" t="str">
        <f t="shared" si="0"/>
        <v>OK</v>
      </c>
    </row>
    <row r="15" spans="1:6" x14ac:dyDescent="0.3">
      <c r="A15" t="s">
        <v>108</v>
      </c>
      <c r="B15" s="7">
        <v>344</v>
      </c>
      <c r="C15" s="7">
        <v>241</v>
      </c>
      <c r="D15" s="7">
        <v>103</v>
      </c>
      <c r="E15" s="7">
        <v>0</v>
      </c>
      <c r="F15" t="str">
        <f t="shared" si="0"/>
        <v>OK</v>
      </c>
    </row>
    <row r="16" spans="1:6" x14ac:dyDescent="0.3">
      <c r="A16" t="s">
        <v>109</v>
      </c>
      <c r="B16" s="7">
        <v>976</v>
      </c>
      <c r="C16" s="7">
        <v>755</v>
      </c>
      <c r="D16" s="7">
        <v>219</v>
      </c>
      <c r="E16" s="7">
        <v>2</v>
      </c>
      <c r="F16" t="str">
        <f t="shared" si="0"/>
        <v>OK</v>
      </c>
    </row>
    <row r="17" spans="1:6" x14ac:dyDescent="0.3">
      <c r="A17" t="s">
        <v>110</v>
      </c>
      <c r="B17" s="7">
        <v>11167</v>
      </c>
      <c r="C17" s="7">
        <v>9523</v>
      </c>
      <c r="D17" s="7">
        <v>1600</v>
      </c>
      <c r="E17" s="7">
        <v>44</v>
      </c>
      <c r="F17" t="str">
        <f t="shared" si="0"/>
        <v>OK</v>
      </c>
    </row>
    <row r="18" spans="1:6" x14ac:dyDescent="0.3">
      <c r="A18" t="s">
        <v>111</v>
      </c>
      <c r="B18" s="7">
        <v>1453</v>
      </c>
      <c r="C18" s="7">
        <v>973</v>
      </c>
      <c r="D18" s="7">
        <v>468</v>
      </c>
      <c r="E18" s="7">
        <v>12</v>
      </c>
      <c r="F18" t="str">
        <f t="shared" si="0"/>
        <v>OK</v>
      </c>
    </row>
    <row r="19" spans="1:6" x14ac:dyDescent="0.3">
      <c r="A19" t="s">
        <v>112</v>
      </c>
      <c r="B19" s="7">
        <v>5396</v>
      </c>
      <c r="C19" s="7">
        <v>3194</v>
      </c>
      <c r="D19" s="7">
        <v>2112</v>
      </c>
      <c r="E19" s="7">
        <v>90</v>
      </c>
      <c r="F19" t="str">
        <f t="shared" si="0"/>
        <v>OK</v>
      </c>
    </row>
    <row r="20" spans="1:6" x14ac:dyDescent="0.3">
      <c r="A20" t="s">
        <v>113</v>
      </c>
      <c r="B20" s="7">
        <v>22794</v>
      </c>
      <c r="C20" s="7">
        <v>16607</v>
      </c>
      <c r="D20" s="7">
        <v>6052</v>
      </c>
      <c r="E20" s="7">
        <v>135</v>
      </c>
      <c r="F20" t="str">
        <f t="shared" si="0"/>
        <v>OK</v>
      </c>
    </row>
    <row r="21" spans="1:6" x14ac:dyDescent="0.3">
      <c r="A21" t="s">
        <v>114</v>
      </c>
      <c r="B21" s="7">
        <v>1312</v>
      </c>
      <c r="C21" s="7">
        <v>1034</v>
      </c>
      <c r="D21" s="7">
        <v>277</v>
      </c>
      <c r="E21" s="7">
        <v>1</v>
      </c>
      <c r="F21" t="str">
        <f t="shared" si="0"/>
        <v>OK</v>
      </c>
    </row>
    <row r="22" spans="1:6" x14ac:dyDescent="0.3">
      <c r="A22" t="s">
        <v>115</v>
      </c>
      <c r="B22" s="7">
        <v>11093</v>
      </c>
      <c r="C22" s="7">
        <v>8129</v>
      </c>
      <c r="D22" s="7">
        <v>2913</v>
      </c>
      <c r="E22" s="7">
        <v>51</v>
      </c>
      <c r="F22" t="str">
        <f t="shared" si="0"/>
        <v>OK</v>
      </c>
    </row>
    <row r="23" spans="1:6" x14ac:dyDescent="0.3">
      <c r="A23" t="s">
        <v>52</v>
      </c>
      <c r="B23" s="7">
        <v>1259</v>
      </c>
      <c r="C23" s="7">
        <v>1003</v>
      </c>
      <c r="D23" s="7">
        <v>255</v>
      </c>
      <c r="E23" s="7">
        <v>1</v>
      </c>
      <c r="F23" t="str">
        <f t="shared" si="0"/>
        <v>OK</v>
      </c>
    </row>
    <row r="24" spans="1:6" x14ac:dyDescent="0.3">
      <c r="A24" t="s">
        <v>116</v>
      </c>
      <c r="B24" s="7">
        <v>16112</v>
      </c>
      <c r="C24" s="7">
        <v>14385</v>
      </c>
      <c r="D24" s="7">
        <v>1690</v>
      </c>
      <c r="E24" s="7">
        <v>37</v>
      </c>
      <c r="F24" t="str">
        <f t="shared" si="0"/>
        <v>OK</v>
      </c>
    </row>
    <row r="25" spans="1:6" x14ac:dyDescent="0.3">
      <c r="A25" t="s">
        <v>117</v>
      </c>
      <c r="B25" s="7">
        <v>2997</v>
      </c>
      <c r="C25" s="7">
        <v>2338</v>
      </c>
      <c r="D25" s="7">
        <v>649</v>
      </c>
      <c r="E25" s="7">
        <v>10</v>
      </c>
      <c r="F25" t="str">
        <f t="shared" si="0"/>
        <v>OK</v>
      </c>
    </row>
    <row r="26" spans="1:6" x14ac:dyDescent="0.3">
      <c r="A26" t="s">
        <v>118</v>
      </c>
      <c r="B26" s="7">
        <v>3043</v>
      </c>
      <c r="C26" s="7">
        <v>2582</v>
      </c>
      <c r="D26" s="7">
        <v>455</v>
      </c>
      <c r="E26" s="7">
        <v>6</v>
      </c>
      <c r="F26" t="str">
        <f t="shared" si="0"/>
        <v>OK</v>
      </c>
    </row>
    <row r="27" spans="1:6" x14ac:dyDescent="0.3">
      <c r="A27" t="s">
        <v>119</v>
      </c>
      <c r="B27" s="7">
        <v>43459</v>
      </c>
      <c r="C27" s="7">
        <v>29966</v>
      </c>
      <c r="D27" s="7">
        <v>13174</v>
      </c>
      <c r="E27" s="7">
        <v>319</v>
      </c>
      <c r="F27" t="str">
        <f t="shared" si="0"/>
        <v>OK</v>
      </c>
    </row>
    <row r="28" spans="1:6" x14ac:dyDescent="0.3">
      <c r="A28" t="s">
        <v>120</v>
      </c>
      <c r="B28" s="7">
        <v>3162</v>
      </c>
      <c r="C28" s="7">
        <v>2066</v>
      </c>
      <c r="D28" s="7">
        <v>1025</v>
      </c>
      <c r="E28" s="7">
        <v>71</v>
      </c>
      <c r="F28" t="str">
        <f t="shared" si="0"/>
        <v>OK</v>
      </c>
    </row>
    <row r="29" spans="1:6" x14ac:dyDescent="0.3">
      <c r="A29" t="s">
        <v>121</v>
      </c>
      <c r="B29" s="7">
        <v>2305</v>
      </c>
      <c r="C29" s="7">
        <v>1890</v>
      </c>
      <c r="D29" s="7">
        <v>409</v>
      </c>
      <c r="E29" s="7">
        <v>6</v>
      </c>
      <c r="F29" t="str">
        <f t="shared" si="0"/>
        <v>OK</v>
      </c>
    </row>
    <row r="30" spans="1:6" x14ac:dyDescent="0.3">
      <c r="A30" t="s">
        <v>122</v>
      </c>
      <c r="B30" s="7">
        <v>3361</v>
      </c>
      <c r="C30" s="7">
        <v>2652</v>
      </c>
      <c r="D30" s="7">
        <v>694</v>
      </c>
      <c r="E30" s="7">
        <v>15</v>
      </c>
      <c r="F30" t="str">
        <f t="shared" si="0"/>
        <v>OK</v>
      </c>
    </row>
    <row r="31" spans="1:6" x14ac:dyDescent="0.3">
      <c r="A31" t="s">
        <v>123</v>
      </c>
      <c r="B31" s="7">
        <v>1008</v>
      </c>
      <c r="C31" s="7">
        <v>805</v>
      </c>
      <c r="D31" s="7">
        <v>201</v>
      </c>
      <c r="E31" s="7">
        <v>2</v>
      </c>
      <c r="F31" t="str">
        <f t="shared" si="0"/>
        <v>OK</v>
      </c>
    </row>
    <row r="32" spans="1:6" x14ac:dyDescent="0.3">
      <c r="A32" t="s">
        <v>124</v>
      </c>
      <c r="B32" s="7">
        <v>967</v>
      </c>
      <c r="C32" s="7">
        <v>784</v>
      </c>
      <c r="D32" s="7">
        <v>183</v>
      </c>
      <c r="E32" s="7">
        <v>0</v>
      </c>
      <c r="F32" t="str">
        <f t="shared" si="0"/>
        <v>OK</v>
      </c>
    </row>
    <row r="33" spans="1:6" x14ac:dyDescent="0.3">
      <c r="A33" t="s">
        <v>125</v>
      </c>
      <c r="B33" s="7">
        <v>12439</v>
      </c>
      <c r="C33" s="7">
        <v>9916</v>
      </c>
      <c r="D33" s="7">
        <v>2479</v>
      </c>
      <c r="E33" s="7">
        <v>44</v>
      </c>
      <c r="F33" t="str">
        <f t="shared" si="0"/>
        <v>OK</v>
      </c>
    </row>
    <row r="34" spans="1:6" x14ac:dyDescent="0.3">
      <c r="A34" t="s">
        <v>126</v>
      </c>
      <c r="B34" s="7">
        <v>2223</v>
      </c>
      <c r="C34" s="7">
        <v>1672</v>
      </c>
      <c r="D34" s="7">
        <v>542</v>
      </c>
      <c r="E34" s="7">
        <v>9</v>
      </c>
      <c r="F34" t="str">
        <f t="shared" si="0"/>
        <v>OK</v>
      </c>
    </row>
    <row r="35" spans="1:6" x14ac:dyDescent="0.3">
      <c r="A35" t="s">
        <v>127</v>
      </c>
      <c r="B35" s="7">
        <v>12018</v>
      </c>
      <c r="C35" s="7">
        <v>10157</v>
      </c>
      <c r="D35" s="7">
        <v>1816</v>
      </c>
      <c r="E35" s="7">
        <v>45</v>
      </c>
      <c r="F35" t="str">
        <f t="shared" si="0"/>
        <v>OK</v>
      </c>
    </row>
    <row r="36" spans="1:6" x14ac:dyDescent="0.3">
      <c r="A36" t="s">
        <v>128</v>
      </c>
      <c r="B36" s="7">
        <v>1662</v>
      </c>
      <c r="C36" s="7">
        <v>1183</v>
      </c>
      <c r="D36" s="7">
        <v>466</v>
      </c>
      <c r="E36" s="7">
        <v>13</v>
      </c>
      <c r="F36" t="str">
        <f t="shared" si="0"/>
        <v>OK</v>
      </c>
    </row>
    <row r="37" spans="1:6" x14ac:dyDescent="0.3">
      <c r="A37" s="11" t="s">
        <v>82</v>
      </c>
      <c r="B37" s="11">
        <f>SUM(B5:B36)</f>
        <v>246085</v>
      </c>
      <c r="C37" s="11">
        <f>SUM(C5:C36)</f>
        <v>184657</v>
      </c>
      <c r="D37" s="11">
        <f>SUM(D5:D36)</f>
        <v>59808</v>
      </c>
      <c r="E37" s="11">
        <f>SUM(E5:E36)</f>
        <v>1620</v>
      </c>
      <c r="F37" s="11" t="s">
        <v>90</v>
      </c>
    </row>
  </sheetData>
  <autoFilter ref="A4:F37" xr:uid="{00000000-0009-0000-0000-000004000000}"/>
  <mergeCells count="2">
    <mergeCell ref="A2:F2"/>
    <mergeCell ref="A1:F1"/>
  </mergeCells>
  <pageMargins left="0.25" right="0.25" top="0.4" bottom="0.4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7"/>
  <sheetViews>
    <sheetView showGridLines="0" topLeftCell="A2" zoomScale="90" workbookViewId="0">
      <selection activeCell="A33" sqref="A33:C37"/>
    </sheetView>
  </sheetViews>
  <sheetFormatPr defaultRowHeight="14.4" x14ac:dyDescent="0.3"/>
  <cols>
    <col min="1" max="1" width="33.109375" customWidth="1"/>
    <col min="2" max="3" width="18" customWidth="1"/>
    <col min="4" max="12" width="10" customWidth="1"/>
  </cols>
  <sheetData>
    <row r="1" spans="1:12" ht="30" customHeight="1" x14ac:dyDescent="0.3">
      <c r="A1" s="26" t="s">
        <v>129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3">
      <c r="A2" s="24" t="s">
        <v>130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x14ac:dyDescent="0.3">
      <c r="A4" s="13" t="s">
        <v>131</v>
      </c>
      <c r="B4" t="s">
        <v>193</v>
      </c>
    </row>
    <row r="5" spans="1:12" x14ac:dyDescent="0.3">
      <c r="A5" s="14" t="s">
        <v>19</v>
      </c>
      <c r="B5" s="14" t="s">
        <v>132</v>
      </c>
    </row>
    <row r="6" spans="1:12" x14ac:dyDescent="0.3">
      <c r="A6" t="s">
        <v>3</v>
      </c>
      <c r="B6" s="8">
        <v>4596.03</v>
      </c>
    </row>
    <row r="7" spans="1:12" x14ac:dyDescent="0.3">
      <c r="A7" t="s">
        <v>56</v>
      </c>
      <c r="B7" s="8">
        <v>1068.04</v>
      </c>
    </row>
    <row r="8" spans="1:12" x14ac:dyDescent="0.3">
      <c r="A8" t="s">
        <v>41</v>
      </c>
      <c r="B8" s="8">
        <v>923.4</v>
      </c>
    </row>
    <row r="9" spans="1:12" x14ac:dyDescent="0.3">
      <c r="A9" t="s">
        <v>46</v>
      </c>
      <c r="B9" s="8">
        <v>907.01</v>
      </c>
    </row>
    <row r="10" spans="1:12" x14ac:dyDescent="0.3">
      <c r="A10" t="s">
        <v>53</v>
      </c>
      <c r="B10" s="8">
        <v>785.43</v>
      </c>
    </row>
    <row r="11" spans="1:12" x14ac:dyDescent="0.3">
      <c r="A11" t="s">
        <v>50</v>
      </c>
      <c r="B11" s="8">
        <v>783.65</v>
      </c>
    </row>
    <row r="12" spans="1:12" x14ac:dyDescent="0.3">
      <c r="A12" t="s">
        <v>40</v>
      </c>
      <c r="B12" s="8">
        <v>726.25</v>
      </c>
    </row>
    <row r="13" spans="1:12" x14ac:dyDescent="0.3">
      <c r="A13" t="s">
        <v>57</v>
      </c>
      <c r="B13" s="8">
        <v>625.57000000000005</v>
      </c>
    </row>
    <row r="14" spans="1:12" x14ac:dyDescent="0.3">
      <c r="A14" t="s">
        <v>62</v>
      </c>
      <c r="B14" s="8">
        <v>470.47</v>
      </c>
    </row>
    <row r="15" spans="1:12" x14ac:dyDescent="0.3">
      <c r="A15" t="s">
        <v>35</v>
      </c>
      <c r="B15" s="8">
        <v>417.1</v>
      </c>
    </row>
    <row r="18" spans="1:2" x14ac:dyDescent="0.3">
      <c r="A18" s="13" t="s">
        <v>133</v>
      </c>
    </row>
    <row r="19" spans="1:2" x14ac:dyDescent="0.3">
      <c r="A19" s="14" t="s">
        <v>19</v>
      </c>
      <c r="B19" s="14" t="s">
        <v>23</v>
      </c>
    </row>
    <row r="20" spans="1:2" x14ac:dyDescent="0.3">
      <c r="A20" t="s">
        <v>8</v>
      </c>
      <c r="B20" s="9">
        <v>293.63</v>
      </c>
    </row>
    <row r="21" spans="1:2" x14ac:dyDescent="0.3">
      <c r="A21" t="s">
        <v>59</v>
      </c>
      <c r="B21" s="9">
        <v>289.33999999999997</v>
      </c>
    </row>
    <row r="22" spans="1:2" x14ac:dyDescent="0.3">
      <c r="A22" t="s">
        <v>42</v>
      </c>
      <c r="B22" s="9">
        <v>288.5</v>
      </c>
    </row>
    <row r="23" spans="1:2" x14ac:dyDescent="0.3">
      <c r="A23" t="s">
        <v>45</v>
      </c>
      <c r="B23" s="9">
        <v>246.92</v>
      </c>
    </row>
    <row r="24" spans="1:2" x14ac:dyDescent="0.3">
      <c r="A24" t="s">
        <v>49</v>
      </c>
      <c r="B24" s="9">
        <v>238.88</v>
      </c>
    </row>
    <row r="25" spans="1:2" x14ac:dyDescent="0.3">
      <c r="A25" t="s">
        <v>50</v>
      </c>
      <c r="B25" s="9">
        <v>233.34</v>
      </c>
    </row>
    <row r="26" spans="1:2" x14ac:dyDescent="0.3">
      <c r="A26" t="s">
        <v>52</v>
      </c>
      <c r="B26" s="9">
        <v>230.47</v>
      </c>
    </row>
    <row r="27" spans="1:2" x14ac:dyDescent="0.3">
      <c r="A27" t="s">
        <v>38</v>
      </c>
      <c r="B27" s="9">
        <v>228.74</v>
      </c>
    </row>
    <row r="28" spans="1:2" x14ac:dyDescent="0.3">
      <c r="A28" t="s">
        <v>61</v>
      </c>
      <c r="B28" s="9">
        <v>227.18</v>
      </c>
    </row>
    <row r="29" spans="1:2" x14ac:dyDescent="0.3">
      <c r="A29" t="s">
        <v>64</v>
      </c>
      <c r="B29" s="9">
        <v>224.41</v>
      </c>
    </row>
    <row r="32" spans="1:2" x14ac:dyDescent="0.3">
      <c r="A32" s="13" t="s">
        <v>134</v>
      </c>
    </row>
    <row r="33" spans="1:3" x14ac:dyDescent="0.3">
      <c r="A33" s="14" t="s">
        <v>135</v>
      </c>
      <c r="B33" s="14" t="s">
        <v>136</v>
      </c>
      <c r="C33" s="14" t="s">
        <v>132</v>
      </c>
    </row>
    <row r="34" spans="1:3" x14ac:dyDescent="0.3">
      <c r="A34" t="s">
        <v>137</v>
      </c>
      <c r="B34" s="7">
        <v>435556</v>
      </c>
      <c r="C34" s="8">
        <v>1861.44</v>
      </c>
    </row>
    <row r="35" spans="1:3" x14ac:dyDescent="0.3">
      <c r="A35" t="s">
        <v>138</v>
      </c>
      <c r="B35" s="7">
        <v>485468</v>
      </c>
      <c r="C35" s="8">
        <v>6837.42</v>
      </c>
    </row>
    <row r="36" spans="1:3" x14ac:dyDescent="0.3">
      <c r="A36" t="s">
        <v>139</v>
      </c>
      <c r="B36" s="7">
        <v>75662</v>
      </c>
      <c r="C36" s="8">
        <v>6402.45</v>
      </c>
    </row>
    <row r="37" spans="1:3" x14ac:dyDescent="0.3">
      <c r="A37" t="s">
        <v>140</v>
      </c>
      <c r="B37" s="7">
        <v>9290</v>
      </c>
      <c r="C37" s="8">
        <v>1461.89</v>
      </c>
    </row>
  </sheetData>
  <mergeCells count="2">
    <mergeCell ref="A2:L2"/>
    <mergeCell ref="A1:L1"/>
  </mergeCells>
  <pageMargins left="0.25" right="0.25" top="0.4" bottom="0.4" header="0.5" footer="0.5"/>
  <pageSetup orientation="landscape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zoomScale="90" workbookViewId="0">
      <selection activeCell="D22" sqref="D22"/>
    </sheetView>
  </sheetViews>
  <sheetFormatPr defaultRowHeight="14.4" x14ac:dyDescent="0.3"/>
  <cols>
    <col min="1" max="1" width="34" customWidth="1"/>
    <col min="2" max="3" width="22" customWidth="1"/>
    <col min="4" max="4" width="16" customWidth="1"/>
    <col min="5" max="5" width="10" customWidth="1"/>
  </cols>
  <sheetData>
    <row r="1" spans="1:5" ht="30" customHeight="1" x14ac:dyDescent="0.3">
      <c r="A1" s="26" t="s">
        <v>141</v>
      </c>
      <c r="B1" s="25"/>
      <c r="C1" s="25"/>
      <c r="D1" s="25"/>
      <c r="E1" s="25"/>
    </row>
    <row r="2" spans="1:5" x14ac:dyDescent="0.3">
      <c r="A2" s="24" t="s">
        <v>142</v>
      </c>
      <c r="B2" s="25"/>
      <c r="C2" s="25"/>
      <c r="D2" s="25"/>
      <c r="E2" s="25"/>
    </row>
    <row r="4" spans="1:5" x14ac:dyDescent="0.3">
      <c r="A4" s="6" t="s">
        <v>143</v>
      </c>
      <c r="B4" s="6" t="s">
        <v>144</v>
      </c>
      <c r="C4" s="6" t="s">
        <v>145</v>
      </c>
      <c r="D4" s="6" t="s">
        <v>146</v>
      </c>
    </row>
    <row r="5" spans="1:5" x14ac:dyDescent="0.3">
      <c r="A5" s="1" t="s">
        <v>147</v>
      </c>
      <c r="B5" s="1">
        <v>33</v>
      </c>
      <c r="C5" s="1">
        <v>33</v>
      </c>
      <c r="D5" s="15" t="s">
        <v>148</v>
      </c>
    </row>
    <row r="6" spans="1:5" x14ac:dyDescent="0.3">
      <c r="A6" s="1" t="s">
        <v>149</v>
      </c>
      <c r="B6" s="1">
        <v>1005976</v>
      </c>
      <c r="C6" s="1">
        <v>1005976</v>
      </c>
      <c r="D6" s="15" t="s">
        <v>148</v>
      </c>
    </row>
    <row r="7" spans="1:5" x14ac:dyDescent="0.3">
      <c r="A7" s="1" t="s">
        <v>150</v>
      </c>
      <c r="B7" s="1">
        <v>16563.22</v>
      </c>
      <c r="C7" s="1">
        <v>16563.211599999999</v>
      </c>
      <c r="D7" s="16" t="s">
        <v>151</v>
      </c>
    </row>
    <row r="8" spans="1:5" x14ac:dyDescent="0.3">
      <c r="A8" s="1" t="s">
        <v>152</v>
      </c>
      <c r="B8" s="1">
        <v>33</v>
      </c>
      <c r="C8" s="1">
        <v>33</v>
      </c>
      <c r="D8" s="15" t="s">
        <v>148</v>
      </c>
    </row>
    <row r="9" spans="1:5" x14ac:dyDescent="0.3">
      <c r="A9" s="1" t="s">
        <v>153</v>
      </c>
      <c r="B9" s="1">
        <v>943424.96</v>
      </c>
      <c r="C9" s="1">
        <v>943424.95</v>
      </c>
      <c r="D9" s="15" t="s">
        <v>148</v>
      </c>
    </row>
    <row r="10" spans="1:5" x14ac:dyDescent="0.3">
      <c r="A10" s="1" t="s">
        <v>154</v>
      </c>
      <c r="B10" s="1">
        <v>1233857.8899999999</v>
      </c>
      <c r="C10" s="1">
        <v>1233857.8799999999</v>
      </c>
      <c r="D10" s="15" t="s">
        <v>148</v>
      </c>
    </row>
    <row r="11" spans="1:5" x14ac:dyDescent="0.3">
      <c r="A11" s="1" t="s">
        <v>155</v>
      </c>
      <c r="B11" s="1">
        <v>32</v>
      </c>
      <c r="C11" s="1">
        <v>32</v>
      </c>
      <c r="D11" s="15" t="s">
        <v>148</v>
      </c>
    </row>
    <row r="12" spans="1:5" x14ac:dyDescent="0.3">
      <c r="A12" s="1" t="s">
        <v>156</v>
      </c>
      <c r="B12" s="1">
        <v>246085</v>
      </c>
      <c r="C12" s="1">
        <v>246085</v>
      </c>
      <c r="D12" s="15" t="s">
        <v>148</v>
      </c>
    </row>
    <row r="15" spans="1:5" x14ac:dyDescent="0.3">
      <c r="A15" s="13" t="s">
        <v>157</v>
      </c>
    </row>
    <row r="16" spans="1:5" ht="31.95" customHeight="1" x14ac:dyDescent="0.3">
      <c r="A16" s="27" t="s">
        <v>158</v>
      </c>
      <c r="B16" s="25"/>
      <c r="C16" s="25"/>
      <c r="D16" s="25"/>
    </row>
    <row r="17" spans="1:4" ht="31.95" customHeight="1" x14ac:dyDescent="0.3">
      <c r="A17" s="27" t="s">
        <v>159</v>
      </c>
      <c r="B17" s="25"/>
      <c r="C17" s="25"/>
      <c r="D17" s="25"/>
    </row>
    <row r="18" spans="1:4" ht="31.95" customHeight="1" x14ac:dyDescent="0.3">
      <c r="A18" s="27" t="s">
        <v>160</v>
      </c>
      <c r="B18" s="25"/>
      <c r="C18" s="25"/>
      <c r="D18" s="25"/>
    </row>
    <row r="19" spans="1:4" ht="31.95" customHeight="1" x14ac:dyDescent="0.3">
      <c r="A19" s="27" t="s">
        <v>161</v>
      </c>
      <c r="B19" s="25"/>
      <c r="C19" s="25"/>
      <c r="D19" s="25"/>
    </row>
    <row r="20" spans="1:4" ht="31.95" customHeight="1" x14ac:dyDescent="0.3">
      <c r="A20" s="27" t="s">
        <v>162</v>
      </c>
      <c r="B20" s="25"/>
      <c r="C20" s="25"/>
      <c r="D20" s="25"/>
    </row>
  </sheetData>
  <mergeCells count="7">
    <mergeCell ref="A17:D17"/>
    <mergeCell ref="A18:D18"/>
    <mergeCell ref="A2:E2"/>
    <mergeCell ref="A20:D20"/>
    <mergeCell ref="A1:E1"/>
    <mergeCell ref="A16:D16"/>
    <mergeCell ref="A19:D19"/>
  </mergeCells>
  <pageMargins left="0.25" right="0.25" top="0.4" bottom="0.4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tabSelected="1" topLeftCell="B1" zoomScale="90" workbookViewId="0">
      <selection sqref="A1:E1"/>
    </sheetView>
  </sheetViews>
  <sheetFormatPr defaultRowHeight="14.4" x14ac:dyDescent="0.3"/>
  <cols>
    <col min="1" max="1" width="28" customWidth="1"/>
    <col min="2" max="2" width="40" customWidth="1"/>
    <col min="3" max="3" width="23.33203125" bestFit="1" customWidth="1"/>
    <col min="4" max="4" width="55" customWidth="1"/>
    <col min="5" max="5" width="42" customWidth="1"/>
  </cols>
  <sheetData>
    <row r="1" spans="1:5" ht="30" customHeight="1" x14ac:dyDescent="0.3">
      <c r="A1" s="26" t="s">
        <v>163</v>
      </c>
      <c r="B1" s="25"/>
      <c r="C1" s="25"/>
      <c r="D1" s="25"/>
      <c r="E1" s="25"/>
    </row>
    <row r="2" spans="1:5" x14ac:dyDescent="0.3">
      <c r="A2" s="24" t="s">
        <v>164</v>
      </c>
      <c r="B2" s="25"/>
      <c r="C2" s="25"/>
      <c r="D2" s="25"/>
      <c r="E2" s="25"/>
    </row>
    <row r="4" spans="1:5" x14ac:dyDescent="0.3">
      <c r="A4" s="6" t="s">
        <v>165</v>
      </c>
      <c r="B4" s="6" t="s">
        <v>166</v>
      </c>
      <c r="C4" s="6" t="s">
        <v>167</v>
      </c>
      <c r="D4" s="6" t="s">
        <v>168</v>
      </c>
      <c r="E4" s="6" t="s">
        <v>169</v>
      </c>
    </row>
    <row r="5" spans="1:5" ht="46.8" x14ac:dyDescent="0.3">
      <c r="A5" s="17" t="s">
        <v>170</v>
      </c>
      <c r="B5" s="17" t="s">
        <v>171</v>
      </c>
      <c r="C5" s="17" t="s">
        <v>172</v>
      </c>
      <c r="D5" s="18" t="s">
        <v>173</v>
      </c>
      <c r="E5" s="17" t="s">
        <v>174</v>
      </c>
    </row>
    <row r="6" spans="1:5" ht="46.8" x14ac:dyDescent="0.3">
      <c r="A6" s="17" t="s">
        <v>175</v>
      </c>
      <c r="B6" s="17" t="s">
        <v>176</v>
      </c>
      <c r="C6" s="17" t="s">
        <v>177</v>
      </c>
      <c r="D6" s="18" t="s">
        <v>173</v>
      </c>
      <c r="E6" s="17" t="s">
        <v>178</v>
      </c>
    </row>
    <row r="7" spans="1:5" ht="31.2" x14ac:dyDescent="0.3">
      <c r="A7" s="17" t="s">
        <v>179</v>
      </c>
      <c r="B7" s="17" t="s">
        <v>180</v>
      </c>
      <c r="C7" s="17" t="s">
        <v>181</v>
      </c>
      <c r="D7" s="18" t="s">
        <v>182</v>
      </c>
      <c r="E7" s="17" t="s">
        <v>183</v>
      </c>
    </row>
    <row r="10" spans="1:5" ht="15.6" x14ac:dyDescent="0.3">
      <c r="A10" s="19" t="s">
        <v>184</v>
      </c>
    </row>
    <row r="11" spans="1:5" x14ac:dyDescent="0.3">
      <c r="A11" s="20" t="s">
        <v>185</v>
      </c>
      <c r="B11" s="28" t="s">
        <v>186</v>
      </c>
      <c r="C11" s="25"/>
      <c r="D11" s="25"/>
      <c r="E11" s="25"/>
    </row>
    <row r="12" spans="1:5" x14ac:dyDescent="0.3">
      <c r="A12" s="20" t="s">
        <v>187</v>
      </c>
      <c r="B12" s="28" t="s">
        <v>188</v>
      </c>
      <c r="C12" s="25"/>
      <c r="D12" s="25"/>
      <c r="E12" s="25"/>
    </row>
    <row r="13" spans="1:5" x14ac:dyDescent="0.3">
      <c r="A13" s="20" t="s">
        <v>189</v>
      </c>
      <c r="B13" s="28" t="s">
        <v>190</v>
      </c>
      <c r="C13" s="25"/>
      <c r="D13" s="25"/>
      <c r="E13" s="25"/>
    </row>
    <row r="14" spans="1:5" x14ac:dyDescent="0.3">
      <c r="A14" s="20" t="s">
        <v>191</v>
      </c>
      <c r="B14" s="28" t="s">
        <v>192</v>
      </c>
      <c r="C14" s="25"/>
      <c r="D14" s="25"/>
      <c r="E14" s="25"/>
    </row>
  </sheetData>
  <mergeCells count="6">
    <mergeCell ref="B14:E14"/>
    <mergeCell ref="A2:E2"/>
    <mergeCell ref="B12:E12"/>
    <mergeCell ref="B13:E13"/>
    <mergeCell ref="A1:E1"/>
    <mergeCell ref="B11:E11"/>
  </mergeCells>
  <hyperlinks>
    <hyperlink ref="D5" r:id="rId1" xr:uid="{00000000-0004-0000-0700-000000000000}"/>
    <hyperlink ref="D6" r:id="rId2" xr:uid="{00000000-0004-0000-0700-000001000000}"/>
    <hyperlink ref="D7" r:id="rId3" xr:uid="{00000000-0004-0000-0700-000002000000}"/>
  </hyperlinks>
  <pageMargins left="0.25" right="0.25" top="0.4" bottom="0.4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Integrated_View</vt:lpstr>
      <vt:lpstr>PMMY_Raw</vt:lpstr>
      <vt:lpstr>CD_Ratio</vt:lpstr>
      <vt:lpstr>MSME_Udyog_Aadhaar</vt:lpstr>
      <vt:lpstr>Charts</vt:lpstr>
      <vt:lpstr>QA_Checks</vt:lpstr>
      <vt:lpstr>Sources_Method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Asim Ahmed</cp:lastModifiedBy>
  <dcterms:created xsi:type="dcterms:W3CDTF">2026-09-20T08:52:41Z</dcterms:created>
  <dcterms:modified xsi:type="dcterms:W3CDTF">2026-09-20T09:23:36Z</dcterms:modified>
</cp:coreProperties>
</file>